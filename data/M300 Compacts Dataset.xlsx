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ersonnel á JeanDi\SEforALL\Plateform\M300_Data\nec_final\data\"/>
    </mc:Choice>
  </mc:AlternateContent>
  <xr:revisionPtr revIDLastSave="0" documentId="13_ncr:1_{FC088950-C4C7-4DDC-8F3A-43B2D33F5EF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finitions" sheetId="1" r:id="rId1"/>
    <sheet name="Complete_Data_Quantitative" sheetId="2" r:id="rId2"/>
    <sheet name="Sheet1" sheetId="9" r:id="rId3"/>
    <sheet name="Derived_Data_Quantitative" sheetId="3" r:id="rId4"/>
    <sheet name="Copy of Derived_Data_Quantitati" sheetId="4" r:id="rId5"/>
    <sheet name="Raw_Data_Quantitative" sheetId="5" r:id="rId6"/>
    <sheet name="Qualitative" sheetId="6" r:id="rId7"/>
    <sheet name="Qual_Ref" sheetId="7" r:id="rId8"/>
    <sheet name="Source_Data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7" i="5" l="1"/>
  <c r="AF67" i="5"/>
  <c r="AE67" i="5"/>
  <c r="AD67" i="5"/>
  <c r="AC9" i="3" s="1"/>
  <c r="AC67" i="5"/>
  <c r="AC5" i="4" s="1"/>
  <c r="AB67" i="5"/>
  <c r="AA67" i="5"/>
  <c r="Z67" i="5"/>
  <c r="Y67" i="5"/>
  <c r="X67" i="5"/>
  <c r="W67" i="5"/>
  <c r="V67" i="5"/>
  <c r="U67" i="5"/>
  <c r="T67" i="5"/>
  <c r="S67" i="5"/>
  <c r="R67" i="5"/>
  <c r="Q9" i="3" s="1"/>
  <c r="Q67" i="5"/>
  <c r="Q7" i="4" s="1"/>
  <c r="P67" i="5"/>
  <c r="O67" i="5"/>
  <c r="N67" i="5"/>
  <c r="M67" i="5"/>
  <c r="L67" i="5"/>
  <c r="K67" i="5"/>
  <c r="J67" i="5"/>
  <c r="I67" i="5"/>
  <c r="H67" i="5"/>
  <c r="G67" i="5"/>
  <c r="F67" i="5"/>
  <c r="E9" i="3" s="1"/>
  <c r="E67" i="5"/>
  <c r="D9" i="3" s="1"/>
  <c r="D67" i="5"/>
  <c r="P25" i="5"/>
  <c r="P24" i="5"/>
  <c r="Z21" i="5"/>
  <c r="Y21" i="5"/>
  <c r="V13" i="5"/>
  <c r="V12" i="5"/>
  <c r="I12" i="5"/>
  <c r="AH11" i="5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V36" i="4"/>
  <c r="K36" i="4"/>
  <c r="AG35" i="4"/>
  <c r="AH68" i="2" s="1"/>
  <c r="AB35" i="4"/>
  <c r="AA35" i="4"/>
  <c r="Z35" i="4"/>
  <c r="AA72" i="2" s="1"/>
  <c r="Q35" i="4"/>
  <c r="F35" i="4"/>
  <c r="AG34" i="4"/>
  <c r="AF34" i="4"/>
  <c r="AB34" i="4"/>
  <c r="W34" i="4"/>
  <c r="V34" i="4"/>
  <c r="U34" i="4"/>
  <c r="T34" i="4"/>
  <c r="R34" i="4"/>
  <c r="K34" i="4"/>
  <c r="J34" i="4"/>
  <c r="I34" i="4"/>
  <c r="H34" i="4"/>
  <c r="AG33" i="4"/>
  <c r="AG36" i="4" s="1"/>
  <c r="AF33" i="4"/>
  <c r="AF36" i="4" s="1"/>
  <c r="AB33" i="4"/>
  <c r="AB36" i="4" s="1"/>
  <c r="AA33" i="4"/>
  <c r="Z33" i="4"/>
  <c r="Q33" i="4"/>
  <c r="P33" i="4"/>
  <c r="P36" i="4" s="1"/>
  <c r="O33" i="4"/>
  <c r="N33" i="4"/>
  <c r="H33" i="4"/>
  <c r="H36" i="4" s="1"/>
  <c r="F33" i="4"/>
  <c r="F36" i="4" s="1"/>
  <c r="E33" i="4"/>
  <c r="D33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I35" i="4" s="1"/>
  <c r="H32" i="4"/>
  <c r="G32" i="4"/>
  <c r="F32" i="4"/>
  <c r="E32" i="4"/>
  <c r="D32" i="4"/>
  <c r="AG31" i="4"/>
  <c r="AF31" i="4"/>
  <c r="AF35" i="4" s="1"/>
  <c r="AE31" i="4"/>
  <c r="AE35" i="4" s="1"/>
  <c r="AD31" i="4"/>
  <c r="AD35" i="4" s="1"/>
  <c r="AC31" i="4"/>
  <c r="AC35" i="4" s="1"/>
  <c r="AB31" i="4"/>
  <c r="AA31" i="4"/>
  <c r="Z31" i="4"/>
  <c r="Y31" i="4"/>
  <c r="X31" i="4"/>
  <c r="X35" i="4" s="1"/>
  <c r="Y72" i="2" s="1"/>
  <c r="W31" i="4"/>
  <c r="V31" i="4"/>
  <c r="U31" i="4"/>
  <c r="U35" i="4" s="1"/>
  <c r="T31" i="4"/>
  <c r="T35" i="4" s="1"/>
  <c r="S31" i="4"/>
  <c r="R31" i="4"/>
  <c r="Q31" i="4"/>
  <c r="P31" i="4"/>
  <c r="P35" i="4" s="1"/>
  <c r="O31" i="4"/>
  <c r="O35" i="4" s="1"/>
  <c r="N31" i="4"/>
  <c r="N35" i="4" s="1"/>
  <c r="M31" i="4"/>
  <c r="L31" i="4"/>
  <c r="L35" i="4" s="1"/>
  <c r="K31" i="4"/>
  <c r="J31" i="4"/>
  <c r="I31" i="4"/>
  <c r="H31" i="4"/>
  <c r="H35" i="4" s="1"/>
  <c r="G31" i="4"/>
  <c r="G35" i="4" s="1"/>
  <c r="F31" i="4"/>
  <c r="E31" i="4"/>
  <c r="D31" i="4"/>
  <c r="D35" i="4" s="1"/>
  <c r="AG30" i="4"/>
  <c r="AB30" i="4"/>
  <c r="AC73" i="2" s="1"/>
  <c r="AA30" i="4"/>
  <c r="AB73" i="2" s="1"/>
  <c r="W30" i="4"/>
  <c r="X73" i="2" s="1"/>
  <c r="V30" i="4"/>
  <c r="U30" i="4"/>
  <c r="P30" i="4"/>
  <c r="L30" i="4"/>
  <c r="M73" i="2" s="1"/>
  <c r="K30" i="4"/>
  <c r="L73" i="2" s="1"/>
  <c r="AG29" i="4"/>
  <c r="AH69" i="2" s="1"/>
  <c r="AB29" i="4"/>
  <c r="W29" i="4"/>
  <c r="X69" i="2" s="1"/>
  <c r="V29" i="4"/>
  <c r="Q29" i="4"/>
  <c r="R69" i="2" s="1"/>
  <c r="P29" i="4"/>
  <c r="AG28" i="4"/>
  <c r="AF28" i="4"/>
  <c r="AE28" i="4"/>
  <c r="AE34" i="4" s="1"/>
  <c r="AD28" i="4"/>
  <c r="AD34" i="4" s="1"/>
  <c r="AC28" i="4"/>
  <c r="AB28" i="4"/>
  <c r="AA28" i="4"/>
  <c r="AA34" i="4" s="1"/>
  <c r="Z28" i="4"/>
  <c r="Z30" i="4" s="1"/>
  <c r="AA73" i="2" s="1"/>
  <c r="Y28" i="4"/>
  <c r="Y30" i="4" s="1"/>
  <c r="Z73" i="2" s="1"/>
  <c r="X28" i="4"/>
  <c r="X30" i="4" s="1"/>
  <c r="Y73" i="2" s="1"/>
  <c r="W28" i="4"/>
  <c r="V28" i="4"/>
  <c r="U28" i="4"/>
  <c r="T28" i="4"/>
  <c r="S28" i="4"/>
  <c r="S34" i="4" s="1"/>
  <c r="R28" i="4"/>
  <c r="Q28" i="4"/>
  <c r="P28" i="4"/>
  <c r="P34" i="4" s="1"/>
  <c r="O28" i="4"/>
  <c r="O34" i="4" s="1"/>
  <c r="N28" i="4"/>
  <c r="N34" i="4" s="1"/>
  <c r="N36" i="4" s="1"/>
  <c r="M28" i="4"/>
  <c r="M34" i="4" s="1"/>
  <c r="L28" i="4"/>
  <c r="L34" i="4" s="1"/>
  <c r="L36" i="4" s="1"/>
  <c r="K28" i="4"/>
  <c r="J28" i="4"/>
  <c r="J30" i="4" s="1"/>
  <c r="K73" i="2" s="1"/>
  <c r="I28" i="4"/>
  <c r="H28" i="4"/>
  <c r="G28" i="4"/>
  <c r="G34" i="4" s="1"/>
  <c r="F28" i="4"/>
  <c r="F34" i="4" s="1"/>
  <c r="E28" i="4"/>
  <c r="D28" i="4"/>
  <c r="D34" i="4" s="1"/>
  <c r="AG27" i="4"/>
  <c r="AF27" i="4"/>
  <c r="AE27" i="4"/>
  <c r="AE33" i="4" s="1"/>
  <c r="AE36" i="4" s="1"/>
  <c r="AD27" i="4"/>
  <c r="AD33" i="4" s="1"/>
  <c r="AD36" i="4" s="1"/>
  <c r="AC27" i="4"/>
  <c r="AC33" i="4" s="1"/>
  <c r="AB27" i="4"/>
  <c r="AA27" i="4"/>
  <c r="Z27" i="4"/>
  <c r="Y27" i="4"/>
  <c r="Y33" i="4" s="1"/>
  <c r="X27" i="4"/>
  <c r="X33" i="4" s="1"/>
  <c r="W27" i="4"/>
  <c r="W33" i="4" s="1"/>
  <c r="W36" i="4" s="1"/>
  <c r="V27" i="4"/>
  <c r="V33" i="4" s="1"/>
  <c r="U27" i="4"/>
  <c r="U33" i="4" s="1"/>
  <c r="U36" i="4" s="1"/>
  <c r="T27" i="4"/>
  <c r="T33" i="4" s="1"/>
  <c r="T36" i="4" s="1"/>
  <c r="S27" i="4"/>
  <c r="S33" i="4" s="1"/>
  <c r="S36" i="4" s="1"/>
  <c r="R27" i="4"/>
  <c r="R33" i="4" s="1"/>
  <c r="R36" i="4" s="1"/>
  <c r="Q27" i="4"/>
  <c r="P27" i="4"/>
  <c r="O27" i="4"/>
  <c r="N27" i="4"/>
  <c r="M27" i="4"/>
  <c r="M33" i="4" s="1"/>
  <c r="L27" i="4"/>
  <c r="L33" i="4" s="1"/>
  <c r="K27" i="4"/>
  <c r="K33" i="4" s="1"/>
  <c r="J27" i="4"/>
  <c r="J33" i="4" s="1"/>
  <c r="J36" i="4" s="1"/>
  <c r="I27" i="4"/>
  <c r="I30" i="4" s="1"/>
  <c r="J73" i="2" s="1"/>
  <c r="H27" i="4"/>
  <c r="G27" i="4"/>
  <c r="G33" i="4" s="1"/>
  <c r="G36" i="4" s="1"/>
  <c r="F27" i="4"/>
  <c r="E27" i="4"/>
  <c r="D27" i="4"/>
  <c r="AG26" i="4"/>
  <c r="AF26" i="4"/>
  <c r="AE26" i="4"/>
  <c r="AD26" i="4"/>
  <c r="AC26" i="4"/>
  <c r="AC29" i="4" s="1"/>
  <c r="AD69" i="2" s="1"/>
  <c r="AB26" i="4"/>
  <c r="AA26" i="4"/>
  <c r="AA29" i="4" s="1"/>
  <c r="Z26" i="4"/>
  <c r="Z29" i="4" s="1"/>
  <c r="Y26" i="4"/>
  <c r="Y29" i="4" s="1"/>
  <c r="Z69" i="2" s="1"/>
  <c r="X26" i="4"/>
  <c r="X29" i="4" s="1"/>
  <c r="Y69" i="2" s="1"/>
  <c r="W26" i="4"/>
  <c r="V26" i="4"/>
  <c r="U26" i="4"/>
  <c r="T26" i="4"/>
  <c r="S26" i="4"/>
  <c r="R26" i="4"/>
  <c r="Q26" i="4"/>
  <c r="P26" i="4"/>
  <c r="O26" i="4"/>
  <c r="O29" i="4" s="1"/>
  <c r="N26" i="4"/>
  <c r="N29" i="4" s="1"/>
  <c r="M26" i="4"/>
  <c r="M29" i="4" s="1"/>
  <c r="N69" i="2" s="1"/>
  <c r="L26" i="4"/>
  <c r="L29" i="4" s="1"/>
  <c r="M69" i="2" s="1"/>
  <c r="K26" i="4"/>
  <c r="J26" i="4"/>
  <c r="I26" i="4"/>
  <c r="H26" i="4"/>
  <c r="G26" i="4"/>
  <c r="F26" i="4"/>
  <c r="E26" i="4"/>
  <c r="E29" i="4" s="1"/>
  <c r="F69" i="2" s="1"/>
  <c r="D26" i="4"/>
  <c r="D29" i="4" s="1"/>
  <c r="AG25" i="4"/>
  <c r="AF25" i="4"/>
  <c r="AF29" i="4" s="1"/>
  <c r="AG69" i="2" s="1"/>
  <c r="AE25" i="4"/>
  <c r="AE29" i="4" s="1"/>
  <c r="AE69" i="2" s="1"/>
  <c r="AD25" i="4"/>
  <c r="AD29" i="4" s="1"/>
  <c r="AF69" i="2" s="1"/>
  <c r="AC25" i="4"/>
  <c r="AB25" i="4"/>
  <c r="AA25" i="4"/>
  <c r="Z25" i="4"/>
  <c r="Y25" i="4"/>
  <c r="X25" i="4"/>
  <c r="W25" i="4"/>
  <c r="V25" i="4"/>
  <c r="U25" i="4"/>
  <c r="U29" i="4" s="1"/>
  <c r="V69" i="2" s="1"/>
  <c r="T25" i="4"/>
  <c r="T29" i="4" s="1"/>
  <c r="U69" i="2" s="1"/>
  <c r="S25" i="4"/>
  <c r="S29" i="4" s="1"/>
  <c r="T69" i="2" s="1"/>
  <c r="R25" i="4"/>
  <c r="R29" i="4" s="1"/>
  <c r="S69" i="2" s="1"/>
  <c r="Q25" i="4"/>
  <c r="P25" i="4"/>
  <c r="O25" i="4"/>
  <c r="N25" i="4"/>
  <c r="M25" i="4"/>
  <c r="L25" i="4"/>
  <c r="K25" i="4"/>
  <c r="K29" i="4" s="1"/>
  <c r="L69" i="2" s="1"/>
  <c r="J25" i="4"/>
  <c r="J29" i="4" s="1"/>
  <c r="K69" i="2" s="1"/>
  <c r="I25" i="4"/>
  <c r="I29" i="4" s="1"/>
  <c r="J69" i="2" s="1"/>
  <c r="H25" i="4"/>
  <c r="H29" i="4" s="1"/>
  <c r="I69" i="2" s="1"/>
  <c r="G25" i="4"/>
  <c r="G29" i="4" s="1"/>
  <c r="H69" i="2" s="1"/>
  <c r="F25" i="4"/>
  <c r="F29" i="4" s="1"/>
  <c r="G69" i="2" s="1"/>
  <c r="E25" i="4"/>
  <c r="D25" i="4"/>
  <c r="AG9" i="4"/>
  <c r="AF9" i="4"/>
  <c r="AE9" i="4"/>
  <c r="AD9" i="4"/>
  <c r="AB9" i="4"/>
  <c r="AA9" i="4"/>
  <c r="Z9" i="4"/>
  <c r="Y9" i="4"/>
  <c r="X9" i="4"/>
  <c r="U9" i="4"/>
  <c r="T9" i="4"/>
  <c r="S9" i="4"/>
  <c r="R9" i="4"/>
  <c r="P9" i="4"/>
  <c r="O9" i="4"/>
  <c r="N9" i="4"/>
  <c r="M9" i="4"/>
  <c r="L9" i="4"/>
  <c r="K9" i="4"/>
  <c r="I9" i="4"/>
  <c r="H9" i="4"/>
  <c r="G9" i="4"/>
  <c r="F9" i="4"/>
  <c r="E9" i="4"/>
  <c r="D9" i="4"/>
  <c r="AE8" i="4"/>
  <c r="AD8" i="4"/>
  <c r="S8" i="4"/>
  <c r="R8" i="4"/>
  <c r="I8" i="4"/>
  <c r="AG7" i="4"/>
  <c r="AF7" i="4"/>
  <c r="AE7" i="4"/>
  <c r="AD7" i="4"/>
  <c r="AB7" i="4"/>
  <c r="AA7" i="4"/>
  <c r="Z7" i="4"/>
  <c r="Y7" i="4"/>
  <c r="T7" i="4"/>
  <c r="S7" i="4"/>
  <c r="R7" i="4"/>
  <c r="P7" i="4"/>
  <c r="O7" i="4"/>
  <c r="N7" i="4"/>
  <c r="M7" i="4"/>
  <c r="I7" i="4"/>
  <c r="H7" i="4"/>
  <c r="G7" i="4"/>
  <c r="G8" i="4" s="1"/>
  <c r="F7" i="4"/>
  <c r="F8" i="4" s="1"/>
  <c r="D7" i="4"/>
  <c r="AG6" i="4"/>
  <c r="AG8" i="4" s="1"/>
  <c r="AF6" i="4"/>
  <c r="AF8" i="4" s="1"/>
  <c r="AE6" i="4"/>
  <c r="AD6" i="4"/>
  <c r="AC6" i="4"/>
  <c r="AB6" i="4"/>
  <c r="AB8" i="4" s="1"/>
  <c r="AA6" i="4"/>
  <c r="AA8" i="4" s="1"/>
  <c r="Z6" i="4"/>
  <c r="Z8" i="4" s="1"/>
  <c r="Y6" i="4"/>
  <c r="Y8" i="4" s="1"/>
  <c r="X6" i="4"/>
  <c r="W6" i="4"/>
  <c r="V6" i="4"/>
  <c r="U6" i="4"/>
  <c r="U7" i="4" s="1"/>
  <c r="T6" i="4"/>
  <c r="T8" i="4" s="1"/>
  <c r="S6" i="4"/>
  <c r="R6" i="4"/>
  <c r="Q6" i="4"/>
  <c r="P6" i="4"/>
  <c r="O6" i="4"/>
  <c r="O8" i="4" s="1"/>
  <c r="N6" i="4"/>
  <c r="N8" i="4" s="1"/>
  <c r="M6" i="4"/>
  <c r="M8" i="4" s="1"/>
  <c r="L6" i="4"/>
  <c r="K6" i="4"/>
  <c r="J6" i="4"/>
  <c r="I6" i="4"/>
  <c r="H6" i="4"/>
  <c r="H8" i="4" s="1"/>
  <c r="G6" i="4"/>
  <c r="F6" i="4"/>
  <c r="E6" i="4"/>
  <c r="D6" i="4"/>
  <c r="D8" i="4" s="1"/>
  <c r="AG5" i="4"/>
  <c r="AF5" i="4"/>
  <c r="AE5" i="4"/>
  <c r="AD5" i="4"/>
  <c r="AB5" i="4"/>
  <c r="AA5" i="4"/>
  <c r="V5" i="4"/>
  <c r="U5" i="4"/>
  <c r="T5" i="4"/>
  <c r="S5" i="4"/>
  <c r="R5" i="4"/>
  <c r="Q5" i="4"/>
  <c r="P5" i="4"/>
  <c r="O5" i="4"/>
  <c r="I5" i="4"/>
  <c r="H5" i="4"/>
  <c r="G5" i="4"/>
  <c r="F5" i="4"/>
  <c r="D5" i="4"/>
  <c r="V4" i="4"/>
  <c r="K4" i="4"/>
  <c r="AG3" i="4"/>
  <c r="AF3" i="4"/>
  <c r="AE3" i="4"/>
  <c r="AD3" i="4"/>
  <c r="X3" i="4"/>
  <c r="W3" i="4"/>
  <c r="W4" i="4" s="1"/>
  <c r="V3" i="4"/>
  <c r="U3" i="4"/>
  <c r="T3" i="4"/>
  <c r="S3" i="4"/>
  <c r="R3" i="4"/>
  <c r="Q3" i="4"/>
  <c r="L3" i="4"/>
  <c r="K3" i="4"/>
  <c r="J3" i="4"/>
  <c r="J4" i="4" s="1"/>
  <c r="I3" i="4"/>
  <c r="H3" i="4"/>
  <c r="G3" i="4"/>
  <c r="F3" i="4"/>
  <c r="AG2" i="4"/>
  <c r="AF2" i="4"/>
  <c r="AE2" i="4"/>
  <c r="AE4" i="4" s="1"/>
  <c r="AD2" i="4"/>
  <c r="AD4" i="4" s="1"/>
  <c r="AC2" i="4"/>
  <c r="AB2" i="4"/>
  <c r="AA2" i="4"/>
  <c r="Z2" i="4"/>
  <c r="Y2" i="4"/>
  <c r="X2" i="4"/>
  <c r="X4" i="4" s="1"/>
  <c r="W2" i="4"/>
  <c r="V2" i="4"/>
  <c r="U2" i="4"/>
  <c r="U4" i="4" s="1"/>
  <c r="T2" i="4"/>
  <c r="T4" i="4" s="1"/>
  <c r="S2" i="4"/>
  <c r="S4" i="4" s="1"/>
  <c r="R2" i="4"/>
  <c r="R4" i="4" s="1"/>
  <c r="Q2" i="4"/>
  <c r="Q4" i="4" s="1"/>
  <c r="P2" i="4"/>
  <c r="O2" i="4"/>
  <c r="N2" i="4"/>
  <c r="M2" i="4"/>
  <c r="L2" i="4"/>
  <c r="L4" i="4" s="1"/>
  <c r="K2" i="4"/>
  <c r="J2" i="4"/>
  <c r="I2" i="4"/>
  <c r="H2" i="4"/>
  <c r="G2" i="4"/>
  <c r="F2" i="4"/>
  <c r="F4" i="4" s="1"/>
  <c r="E2" i="4"/>
  <c r="D2" i="4"/>
  <c r="AF9" i="3"/>
  <c r="AE9" i="3"/>
  <c r="AD9" i="3"/>
  <c r="Y9" i="3"/>
  <c r="X9" i="3"/>
  <c r="W9" i="3"/>
  <c r="V9" i="3"/>
  <c r="U9" i="3"/>
  <c r="T9" i="3"/>
  <c r="S9" i="3"/>
  <c r="R9" i="3"/>
  <c r="M9" i="3"/>
  <c r="L9" i="3"/>
  <c r="K9" i="3"/>
  <c r="J9" i="3"/>
  <c r="I9" i="3"/>
  <c r="H9" i="3"/>
  <c r="G9" i="3"/>
  <c r="F9" i="3"/>
  <c r="AE8" i="3"/>
  <c r="AD8" i="3"/>
  <c r="Z8" i="3"/>
  <c r="Y8" i="3"/>
  <c r="O8" i="3"/>
  <c r="F8" i="3"/>
  <c r="AF7" i="3"/>
  <c r="AE7" i="3"/>
  <c r="AD7" i="3"/>
  <c r="Z7" i="3"/>
  <c r="Y7" i="3"/>
  <c r="X7" i="3"/>
  <c r="W7" i="3"/>
  <c r="V7" i="3"/>
  <c r="U7" i="3"/>
  <c r="S7" i="3"/>
  <c r="R7" i="3"/>
  <c r="O7" i="3"/>
  <c r="N7" i="3"/>
  <c r="N8" i="3" s="1"/>
  <c r="M7" i="3"/>
  <c r="M8" i="3" s="1"/>
  <c r="L7" i="3"/>
  <c r="K7" i="3"/>
  <c r="J7" i="3"/>
  <c r="I7" i="3"/>
  <c r="H7" i="3"/>
  <c r="G7" i="3"/>
  <c r="F7" i="3"/>
  <c r="C7" i="3"/>
  <c r="AF6" i="3"/>
  <c r="AF8" i="3" s="1"/>
  <c r="AE6" i="3"/>
  <c r="AD6" i="3"/>
  <c r="AC6" i="3"/>
  <c r="AB6" i="3"/>
  <c r="AA6" i="3"/>
  <c r="AA7" i="3" s="1"/>
  <c r="Z6" i="3"/>
  <c r="Y6" i="3"/>
  <c r="X6" i="3"/>
  <c r="W6" i="3"/>
  <c r="V6" i="3"/>
  <c r="U6" i="3"/>
  <c r="T6" i="3"/>
  <c r="T7" i="3" s="1"/>
  <c r="S6" i="3"/>
  <c r="S8" i="3" s="1"/>
  <c r="R6" i="3"/>
  <c r="R8" i="3" s="1"/>
  <c r="Q6" i="3"/>
  <c r="Q7" i="3" s="1"/>
  <c r="P6" i="3"/>
  <c r="O6" i="3"/>
  <c r="N6" i="3"/>
  <c r="M6" i="3"/>
  <c r="L6" i="3"/>
  <c r="K6" i="3"/>
  <c r="J6" i="3"/>
  <c r="I6" i="3"/>
  <c r="H6" i="3"/>
  <c r="H8" i="3" s="1"/>
  <c r="G6" i="3"/>
  <c r="G8" i="3" s="1"/>
  <c r="F6" i="3"/>
  <c r="E6" i="3"/>
  <c r="D6" i="3"/>
  <c r="C6" i="3"/>
  <c r="C8" i="3" s="1"/>
  <c r="AF5" i="3"/>
  <c r="AE5" i="3"/>
  <c r="AD5" i="3"/>
  <c r="AC5" i="3"/>
  <c r="AA5" i="3"/>
  <c r="Z5" i="3"/>
  <c r="Y5" i="3"/>
  <c r="X5" i="3"/>
  <c r="W5" i="3"/>
  <c r="V5" i="3"/>
  <c r="T5" i="3"/>
  <c r="S5" i="3"/>
  <c r="R5" i="3"/>
  <c r="Q5" i="3"/>
  <c r="O5" i="3"/>
  <c r="N5" i="3"/>
  <c r="M5" i="3"/>
  <c r="L5" i="3"/>
  <c r="K5" i="3"/>
  <c r="J5" i="3"/>
  <c r="H5" i="3"/>
  <c r="G5" i="3"/>
  <c r="F5" i="3"/>
  <c r="E5" i="3"/>
  <c r="C5" i="3"/>
  <c r="AF4" i="3"/>
  <c r="AE4" i="3"/>
  <c r="AD4" i="3"/>
  <c r="R4" i="3"/>
  <c r="Q4" i="3"/>
  <c r="M4" i="3"/>
  <c r="H4" i="3"/>
  <c r="G4" i="3"/>
  <c r="F4" i="3"/>
  <c r="AF3" i="3"/>
  <c r="AE3" i="3"/>
  <c r="AD3" i="3"/>
  <c r="AC3" i="3"/>
  <c r="AC4" i="3" s="1"/>
  <c r="AA3" i="3"/>
  <c r="Z3" i="3"/>
  <c r="Y3" i="3"/>
  <c r="X3" i="3"/>
  <c r="T3" i="3"/>
  <c r="S3" i="3"/>
  <c r="R3" i="3"/>
  <c r="Q3" i="3"/>
  <c r="O3" i="3"/>
  <c r="N3" i="3"/>
  <c r="M3" i="3"/>
  <c r="L3" i="3"/>
  <c r="H3" i="3"/>
  <c r="G3" i="3"/>
  <c r="F3" i="3"/>
  <c r="E3" i="3"/>
  <c r="E4" i="3" s="1"/>
  <c r="D3" i="3"/>
  <c r="C3" i="3"/>
  <c r="AF2" i="3"/>
  <c r="AE2" i="3"/>
  <c r="AD2" i="3"/>
  <c r="AC2" i="3"/>
  <c r="AB2" i="3"/>
  <c r="AA2" i="3"/>
  <c r="AA4" i="3" s="1"/>
  <c r="Z2" i="3"/>
  <c r="Y2" i="3"/>
  <c r="Y4" i="3" s="1"/>
  <c r="X2" i="3"/>
  <c r="X4" i="3" s="1"/>
  <c r="W2" i="3"/>
  <c r="V2" i="3"/>
  <c r="U2" i="3"/>
  <c r="T2" i="3"/>
  <c r="T4" i="3" s="1"/>
  <c r="S2" i="3"/>
  <c r="S4" i="3" s="1"/>
  <c r="R2" i="3"/>
  <c r="Q2" i="3"/>
  <c r="P2" i="3"/>
  <c r="O2" i="3"/>
  <c r="O4" i="3" s="1"/>
  <c r="N2" i="3"/>
  <c r="M2" i="3"/>
  <c r="L2" i="3"/>
  <c r="L4" i="3" s="1"/>
  <c r="K2" i="3"/>
  <c r="J2" i="3"/>
  <c r="I2" i="3"/>
  <c r="H2" i="3"/>
  <c r="G2" i="3"/>
  <c r="F2" i="3"/>
  <c r="E2" i="3"/>
  <c r="D2" i="3"/>
  <c r="C2" i="3"/>
  <c r="C4" i="3" s="1"/>
  <c r="AH73" i="2"/>
  <c r="W73" i="2"/>
  <c r="V73" i="2"/>
  <c r="Q73" i="2"/>
  <c r="AC72" i="2"/>
  <c r="AB72" i="2"/>
  <c r="M72" i="2"/>
  <c r="AH71" i="2"/>
  <c r="AG71" i="2"/>
  <c r="AF71" i="2"/>
  <c r="AE71" i="2"/>
  <c r="AD71" i="2"/>
  <c r="AC71" i="2"/>
  <c r="AB71" i="2"/>
  <c r="AA71" i="2"/>
  <c r="W71" i="2"/>
  <c r="V71" i="2"/>
  <c r="U71" i="2"/>
  <c r="T71" i="2"/>
  <c r="S71" i="2"/>
  <c r="R71" i="2"/>
  <c r="Q71" i="2"/>
  <c r="P71" i="2"/>
  <c r="O71" i="2"/>
  <c r="K71" i="2"/>
  <c r="J71" i="2"/>
  <c r="I71" i="2"/>
  <c r="H71" i="2"/>
  <c r="G71" i="2"/>
  <c r="F71" i="2"/>
  <c r="E71" i="2"/>
  <c r="AH70" i="2"/>
  <c r="AG70" i="2"/>
  <c r="AC70" i="2"/>
  <c r="AB70" i="2"/>
  <c r="AA70" i="2"/>
  <c r="Z70" i="2"/>
  <c r="Y70" i="2"/>
  <c r="X70" i="2"/>
  <c r="W70" i="2"/>
  <c r="V70" i="2"/>
  <c r="U70" i="2"/>
  <c r="Q70" i="2"/>
  <c r="P70" i="2"/>
  <c r="O70" i="2"/>
  <c r="N70" i="2"/>
  <c r="M70" i="2"/>
  <c r="L70" i="2"/>
  <c r="K70" i="2"/>
  <c r="J70" i="2"/>
  <c r="I70" i="2"/>
  <c r="E70" i="2"/>
  <c r="AC69" i="2"/>
  <c r="AB69" i="2"/>
  <c r="AA69" i="2"/>
  <c r="W69" i="2"/>
  <c r="Q69" i="2"/>
  <c r="P69" i="2"/>
  <c r="O69" i="2"/>
  <c r="AC68" i="2"/>
  <c r="AB68" i="2"/>
  <c r="AA68" i="2"/>
  <c r="Y68" i="2"/>
  <c r="M68" i="2"/>
  <c r="AH67" i="2"/>
  <c r="AG67" i="2"/>
  <c r="AF67" i="2"/>
  <c r="AE67" i="2"/>
  <c r="AD67" i="2"/>
  <c r="AC67" i="2"/>
  <c r="AB67" i="2"/>
  <c r="AA67" i="2"/>
  <c r="W67" i="2"/>
  <c r="V67" i="2"/>
  <c r="U67" i="2"/>
  <c r="T67" i="2"/>
  <c r="S67" i="2"/>
  <c r="R67" i="2"/>
  <c r="Q67" i="2"/>
  <c r="P67" i="2"/>
  <c r="O67" i="2"/>
  <c r="K67" i="2"/>
  <c r="J67" i="2"/>
  <c r="I67" i="2"/>
  <c r="H67" i="2"/>
  <c r="G67" i="2"/>
  <c r="F67" i="2"/>
  <c r="E67" i="2"/>
  <c r="AH66" i="2"/>
  <c r="AG66" i="2"/>
  <c r="AC66" i="2"/>
  <c r="AB66" i="2"/>
  <c r="AA66" i="2"/>
  <c r="Z66" i="2"/>
  <c r="Y66" i="2"/>
  <c r="X66" i="2"/>
  <c r="W66" i="2"/>
  <c r="V66" i="2"/>
  <c r="U66" i="2"/>
  <c r="Q66" i="2"/>
  <c r="P66" i="2"/>
  <c r="O66" i="2"/>
  <c r="N66" i="2"/>
  <c r="M66" i="2"/>
  <c r="L66" i="2"/>
  <c r="K66" i="2"/>
  <c r="J66" i="2"/>
  <c r="I66" i="2"/>
  <c r="E66" i="2"/>
  <c r="AJ31" i="2"/>
  <c r="X36" i="4" l="1"/>
  <c r="V72" i="2"/>
  <c r="V68" i="2"/>
  <c r="Q68" i="2"/>
  <c r="Q72" i="2"/>
  <c r="M36" i="4"/>
  <c r="E72" i="2"/>
  <c r="E68" i="2"/>
  <c r="AD68" i="2"/>
  <c r="AD72" i="2"/>
  <c r="AC36" i="4"/>
  <c r="O68" i="2"/>
  <c r="O72" i="2"/>
  <c r="P68" i="2"/>
  <c r="P72" i="2"/>
  <c r="J72" i="2"/>
  <c r="J68" i="2"/>
  <c r="M4" i="4"/>
  <c r="AF72" i="2"/>
  <c r="AF68" i="2"/>
  <c r="E69" i="2"/>
  <c r="AH29" i="4"/>
  <c r="H72" i="2"/>
  <c r="H68" i="2"/>
  <c r="AE72" i="2"/>
  <c r="AE68" i="2"/>
  <c r="K4" i="3"/>
  <c r="W4" i="3"/>
  <c r="I72" i="2"/>
  <c r="I68" i="2"/>
  <c r="U68" i="2"/>
  <c r="U72" i="2"/>
  <c r="AG68" i="2"/>
  <c r="AG72" i="2"/>
  <c r="T8" i="3"/>
  <c r="G72" i="2"/>
  <c r="G68" i="2"/>
  <c r="J9" i="4"/>
  <c r="AH9" i="4" s="1"/>
  <c r="I5" i="3"/>
  <c r="I3" i="3"/>
  <c r="I4" i="3" s="1"/>
  <c r="J7" i="4"/>
  <c r="J8" i="4" s="1"/>
  <c r="V9" i="4"/>
  <c r="U5" i="3"/>
  <c r="U3" i="3"/>
  <c r="U4" i="3" s="1"/>
  <c r="V7" i="4"/>
  <c r="V8" i="4" s="1"/>
  <c r="M35" i="4"/>
  <c r="Y35" i="4"/>
  <c r="K7" i="4"/>
  <c r="K8" i="4" s="1"/>
  <c r="J3" i="3"/>
  <c r="J4" i="3" s="1"/>
  <c r="K5" i="4"/>
  <c r="W7" i="4"/>
  <c r="W8" i="4" s="1"/>
  <c r="V3" i="3"/>
  <c r="V4" i="3" s="1"/>
  <c r="W5" i="4"/>
  <c r="M30" i="4"/>
  <c r="N73" i="2" s="1"/>
  <c r="L7" i="4"/>
  <c r="L8" i="4" s="1"/>
  <c r="K3" i="3"/>
  <c r="L5" i="4"/>
  <c r="X7" i="4"/>
  <c r="X8" i="4" s="1"/>
  <c r="W3" i="3"/>
  <c r="X5" i="4"/>
  <c r="AH72" i="2"/>
  <c r="N4" i="3"/>
  <c r="Z4" i="3"/>
  <c r="AA8" i="3"/>
  <c r="AC3" i="4"/>
  <c r="AC4" i="4" s="1"/>
  <c r="P8" i="4"/>
  <c r="N30" i="4"/>
  <c r="O73" i="2" s="1"/>
  <c r="X34" i="4"/>
  <c r="M5" i="4"/>
  <c r="M3" i="4"/>
  <c r="Y5" i="4"/>
  <c r="Y3" i="4"/>
  <c r="Y4" i="4" s="1"/>
  <c r="Q8" i="4"/>
  <c r="AC8" i="4"/>
  <c r="AC7" i="4"/>
  <c r="O30" i="4"/>
  <c r="P73" i="2" s="1"/>
  <c r="D36" i="4"/>
  <c r="Y34" i="4"/>
  <c r="Y36" i="4" s="1"/>
  <c r="N5" i="4"/>
  <c r="N3" i="4"/>
  <c r="N4" i="4" s="1"/>
  <c r="Z5" i="4"/>
  <c r="Z3" i="4"/>
  <c r="Z4" i="4" s="1"/>
  <c r="D4" i="3"/>
  <c r="AG4" i="3" s="1"/>
  <c r="AH2" i="4"/>
  <c r="E5" i="4"/>
  <c r="AC9" i="4"/>
  <c r="E34" i="4"/>
  <c r="E36" i="4" s="1"/>
  <c r="E30" i="4"/>
  <c r="F73" i="2" s="1"/>
  <c r="Q30" i="4"/>
  <c r="R73" i="2" s="1"/>
  <c r="Q34" i="4"/>
  <c r="Q36" i="4" s="1"/>
  <c r="AC34" i="4"/>
  <c r="AC30" i="4"/>
  <c r="AD73" i="2" s="1"/>
  <c r="F70" i="2"/>
  <c r="F66" i="2"/>
  <c r="R70" i="2"/>
  <c r="R66" i="2"/>
  <c r="AD66" i="2"/>
  <c r="AD70" i="2"/>
  <c r="L67" i="2"/>
  <c r="L71" i="2"/>
  <c r="X71" i="2"/>
  <c r="X67" i="2"/>
  <c r="Z34" i="4"/>
  <c r="Z36" i="4" s="1"/>
  <c r="O3" i="4"/>
  <c r="O4" i="4" s="1"/>
  <c r="N9" i="3"/>
  <c r="AA3" i="4"/>
  <c r="AA4" i="4" s="1"/>
  <c r="Z9" i="3"/>
  <c r="AB3" i="3"/>
  <c r="AB4" i="3" s="1"/>
  <c r="Q9" i="4"/>
  <c r="R30" i="4"/>
  <c r="S73" i="2" s="1"/>
  <c r="G70" i="2"/>
  <c r="G66" i="2"/>
  <c r="S70" i="2"/>
  <c r="S66" i="2"/>
  <c r="AF70" i="2"/>
  <c r="AF66" i="2"/>
  <c r="M71" i="2"/>
  <c r="M67" i="2"/>
  <c r="Y71" i="2"/>
  <c r="Y67" i="2"/>
  <c r="D3" i="4"/>
  <c r="C9" i="3"/>
  <c r="P3" i="4"/>
  <c r="P4" i="4" s="1"/>
  <c r="O9" i="3"/>
  <c r="AB3" i="4"/>
  <c r="AB4" i="4" s="1"/>
  <c r="AA9" i="3"/>
  <c r="T70" i="2"/>
  <c r="T66" i="2"/>
  <c r="Z71" i="2"/>
  <c r="Z67" i="2"/>
  <c r="AA36" i="4"/>
  <c r="R72" i="2"/>
  <c r="R68" i="2"/>
  <c r="U8" i="3"/>
  <c r="U8" i="4"/>
  <c r="H30" i="4"/>
  <c r="I73" i="2" s="1"/>
  <c r="T30" i="4"/>
  <c r="U73" i="2" s="1"/>
  <c r="AF30" i="4"/>
  <c r="AG73" i="2" s="1"/>
  <c r="R35" i="4"/>
  <c r="P9" i="3"/>
  <c r="P7" i="3"/>
  <c r="P8" i="3" s="1"/>
  <c r="P3" i="3"/>
  <c r="P4" i="3" s="1"/>
  <c r="AB5" i="3"/>
  <c r="J8" i="3"/>
  <c r="V8" i="3"/>
  <c r="Q8" i="3"/>
  <c r="H4" i="4"/>
  <c r="AF4" i="4"/>
  <c r="D4" i="4"/>
  <c r="AH6" i="4"/>
  <c r="D30" i="4"/>
  <c r="I33" i="4"/>
  <c r="I36" i="4" s="1"/>
  <c r="S35" i="4"/>
  <c r="H70" i="2"/>
  <c r="H66" i="2"/>
  <c r="AE70" i="2"/>
  <c r="AE66" i="2"/>
  <c r="N71" i="2"/>
  <c r="N67" i="2"/>
  <c r="AB9" i="3"/>
  <c r="AB7" i="3"/>
  <c r="AB8" i="3" s="1"/>
  <c r="AG6" i="3"/>
  <c r="G4" i="4"/>
  <c r="AG2" i="3"/>
  <c r="P5" i="3"/>
  <c r="K8" i="3"/>
  <c r="W8" i="3"/>
  <c r="D7" i="3"/>
  <c r="D8" i="3" s="1"/>
  <c r="AG8" i="3" s="1"/>
  <c r="I4" i="4"/>
  <c r="AG4" i="4"/>
  <c r="J5" i="4"/>
  <c r="J35" i="4"/>
  <c r="V35" i="4"/>
  <c r="I8" i="3"/>
  <c r="D5" i="3"/>
  <c r="AG5" i="3" s="1"/>
  <c r="L8" i="3"/>
  <c r="X8" i="3"/>
  <c r="E3" i="4"/>
  <c r="E4" i="4" s="1"/>
  <c r="E7" i="4"/>
  <c r="AH7" i="4" s="1"/>
  <c r="W9" i="4"/>
  <c r="K35" i="4"/>
  <c r="W35" i="4"/>
  <c r="O36" i="4"/>
  <c r="E35" i="4"/>
  <c r="AC7" i="3"/>
  <c r="AC8" i="3" s="1"/>
  <c r="F30" i="4"/>
  <c r="G73" i="2" s="1"/>
  <c r="AD30" i="4"/>
  <c r="AF73" i="2" s="1"/>
  <c r="E7" i="3"/>
  <c r="E8" i="3" s="1"/>
  <c r="G30" i="4"/>
  <c r="H73" i="2" s="1"/>
  <c r="S30" i="4"/>
  <c r="T73" i="2" s="1"/>
  <c r="AE30" i="4"/>
  <c r="AE73" i="2" s="1"/>
  <c r="L72" i="2" l="1"/>
  <c r="L68" i="2"/>
  <c r="AH5" i="4"/>
  <c r="AG3" i="3"/>
  <c r="T72" i="2"/>
  <c r="T68" i="2"/>
  <c r="AG7" i="3"/>
  <c r="E8" i="4"/>
  <c r="AH8" i="4" s="1"/>
  <c r="K72" i="2"/>
  <c r="K68" i="2"/>
  <c r="F72" i="2"/>
  <c r="F68" i="2"/>
  <c r="W72" i="2"/>
  <c r="W68" i="2"/>
  <c r="E73" i="2"/>
  <c r="AH30" i="4"/>
  <c r="S72" i="2"/>
  <c r="S68" i="2"/>
  <c r="X72" i="2"/>
  <c r="X68" i="2"/>
  <c r="AH4" i="4"/>
  <c r="Z72" i="2"/>
  <c r="Z68" i="2"/>
  <c r="N72" i="2"/>
  <c r="N68" i="2"/>
  <c r="AH35" i="4"/>
  <c r="AG9" i="3"/>
  <c r="AH3" i="4"/>
  <c r="AH36" i="4"/>
</calcChain>
</file>

<file path=xl/sharedStrings.xml><?xml version="1.0" encoding="utf-8"?>
<sst xmlns="http://schemas.openxmlformats.org/spreadsheetml/2006/main" count="7942" uniqueCount="1347">
  <si>
    <t>Indicator</t>
  </si>
  <si>
    <t>Definition</t>
  </si>
  <si>
    <t>Current Electricity Access Rate (%)</t>
  </si>
  <si>
    <t>Percentage of the total population with access to electricity</t>
  </si>
  <si>
    <t>Current Urban Electricity Access Rate (%)</t>
  </si>
  <si>
    <t>Percentage of the urban population with access to electricity.</t>
  </si>
  <si>
    <t>Current Rural Electricity Access Rate (%)</t>
  </si>
  <si>
    <t>Percentage of the rural population with access to electricity.</t>
  </si>
  <si>
    <t>Target Electricity Access Rate by 2030 (%)</t>
  </si>
  <si>
    <t>Planned percentage of the population with electricity access by 2030.</t>
  </si>
  <si>
    <t>Target Urban Electricity Access Rate by 2030 (%)</t>
  </si>
  <si>
    <t>Planned percentage of the urban population with electricity access by 2030.</t>
  </si>
  <si>
    <t>Target Rural Electricity Access Rate by 2030 (%)</t>
  </si>
  <si>
    <t>Planned percentage of the rural population with electricity access by 2030.</t>
  </si>
  <si>
    <t>Population Without Electricity (people)</t>
  </si>
  <si>
    <t>Number of people without access to electricity when explicitly stated.</t>
  </si>
  <si>
    <t>Installed Capacity – Current (MW)</t>
  </si>
  <si>
    <t>Total installed electricity generation capacity at time of reporting.</t>
  </si>
  <si>
    <t>Installed Capacity – 2030 Target (MW)</t>
  </si>
  <si>
    <t>Planned total installed generation capacity by 2030.</t>
  </si>
  <si>
    <t>New Generation Required (MW)</t>
  </si>
  <si>
    <t>Additional generation capacity explicitly stated as required.</t>
  </si>
  <si>
    <t>Renewable Capacity – Current (MW)</t>
  </si>
  <si>
    <t>Installed renewable electricity generation capacity.</t>
  </si>
  <si>
    <t>Renewable Capacity – 2030 Target (MW)</t>
  </si>
  <si>
    <t>Planned renewable electricity generation capacity by 2030.</t>
  </si>
  <si>
    <t>Solar Capacity Target (MW)</t>
  </si>
  <si>
    <t>Planned installed solar generation capacity.</t>
  </si>
  <si>
    <t>Wind Capacity Target (MW)</t>
  </si>
  <si>
    <t>Planned installed wind generation capacity.</t>
  </si>
  <si>
    <t>Hydro Capacity Target (MW)</t>
  </si>
  <si>
    <t>Planned installed hydropower capacity.</t>
  </si>
  <si>
    <t>Gas Capacity Target (MW)</t>
  </si>
  <si>
    <t>Planned installed gas-fired generation capacity.</t>
  </si>
  <si>
    <t>Battery Storage Target (MWh)</t>
  </si>
  <si>
    <t>Planned electricity storage capacity.</t>
  </si>
  <si>
    <t>Peak Demand – Current (MW)</t>
  </si>
  <si>
    <t>Maximum observed or estimated electricity demand.</t>
  </si>
  <si>
    <t>Peak Demand – 2030 (MW)</t>
  </si>
  <si>
    <t>Projected maximum electricity demand by 2030.</t>
  </si>
  <si>
    <t>Transmission Lines – Existing (km)</t>
  </si>
  <si>
    <t>Length of existing transmission lines.</t>
  </si>
  <si>
    <t>Transmission Lines – Added (km)</t>
  </si>
  <si>
    <t>Planned additional transmission lines.</t>
  </si>
  <si>
    <t>Distribution Lines – Added (km)</t>
  </si>
  <si>
    <t>Planned additional distribution network length.</t>
  </si>
  <si>
    <t>System Losses – Current (%)</t>
  </si>
  <si>
    <t>Percentage of electricity lost in transmission and distribution.</t>
  </si>
  <si>
    <t>System Losses – Target (%)</t>
  </si>
  <si>
    <t>Target percentage of electricity losses.</t>
  </si>
  <si>
    <t>Total Investment Required (USD)</t>
  </si>
  <si>
    <t>Total estimated investment required.</t>
  </si>
  <si>
    <t>Public Financing Required (USD)</t>
  </si>
  <si>
    <t>Portion of investment from public sources.</t>
  </si>
  <si>
    <t>Private Financing Required (USD)</t>
  </si>
  <si>
    <t>Portion of investment from private sources.</t>
  </si>
  <si>
    <t>Average Tariff (USD/kWh)</t>
  </si>
  <si>
    <t>Average electricity tariff charged to consumers.</t>
  </si>
  <si>
    <t>Cost Recovery Ratio current</t>
  </si>
  <si>
    <t>Ratio of utility revenues to costs.</t>
  </si>
  <si>
    <t>Cost Recovery Ratio target</t>
  </si>
  <si>
    <t>Target ratio of utility revenues to costs.</t>
  </si>
  <si>
    <t>Utility Collection Rate - Current (%)</t>
  </si>
  <si>
    <t>Percentage of billed revenues collected.</t>
  </si>
  <si>
    <t>Utility Collection Rate - Target (%)</t>
  </si>
  <si>
    <t>Target percentage of billed revenues collected.</t>
  </si>
  <si>
    <t>Renewable Share – Current (%)</t>
  </si>
  <si>
    <t>Share of electricity generation from renewables.</t>
  </si>
  <si>
    <t>Renewable Share – 2030 Target (%)</t>
  </si>
  <si>
    <t>Target renewable share by 2030.</t>
  </si>
  <si>
    <t>CO2 Emissions Reduction (tCO2)</t>
  </si>
  <si>
    <t>Estimated CO₂ emissions reduction.</t>
  </si>
  <si>
    <t>Energy Efficiency Savings (GWh/year)</t>
  </si>
  <si>
    <t>Annual electricity savings from efficiency.</t>
  </si>
  <si>
    <t>Clean cooking access - current (%)</t>
  </si>
  <si>
    <t>Percentage of population with access to clean cooking.</t>
  </si>
  <si>
    <t>Clean cooking access - 2030 target (%)</t>
  </si>
  <si>
    <t>Target clean cooking access by 2030.</t>
  </si>
  <si>
    <t>Compact Start Year</t>
  </si>
  <si>
    <t>Year compact implementation begins.</t>
  </si>
  <si>
    <t>Compact End Year</t>
  </si>
  <si>
    <t>Year compact implementation ends.</t>
  </si>
  <si>
    <t>Universal Access Target Year</t>
  </si>
  <si>
    <t>Year universal electricity access is targeted.</t>
  </si>
  <si>
    <t>Category</t>
  </si>
  <si>
    <t>Data Source</t>
  </si>
  <si>
    <t>Benin</t>
  </si>
  <si>
    <t>Botswana</t>
  </si>
  <si>
    <t>Burundi</t>
  </si>
  <si>
    <t>Cameroon</t>
  </si>
  <si>
    <t>Chad</t>
  </si>
  <si>
    <t>Comoros</t>
  </si>
  <si>
    <t>Côte d’Ivoire</t>
  </si>
  <si>
    <t>Democratic Republic of Congo</t>
  </si>
  <si>
    <t>Ethiopia</t>
  </si>
  <si>
    <t>Gambia</t>
  </si>
  <si>
    <t>Ghana</t>
  </si>
  <si>
    <t>Guinea</t>
  </si>
  <si>
    <t>Kenya</t>
  </si>
  <si>
    <t>Lesotho</t>
  </si>
  <si>
    <t>Liberia</t>
  </si>
  <si>
    <t>Madagascar</t>
  </si>
  <si>
    <t>Malawi</t>
  </si>
  <si>
    <t>Mauritania</t>
  </si>
  <si>
    <t>Mozambique</t>
  </si>
  <si>
    <t>Namibia</t>
  </si>
  <si>
    <t>Niger</t>
  </si>
  <si>
    <t>Nigeria</t>
  </si>
  <si>
    <t>Republic of Congo</t>
  </si>
  <si>
    <t>São Tomé &amp; Príncipe</t>
  </si>
  <si>
    <t>Senegal</t>
  </si>
  <si>
    <t>Sierra Leone</t>
  </si>
  <si>
    <t>Tanzania</t>
  </si>
  <si>
    <t>Togo</t>
  </si>
  <si>
    <t>Zambia</t>
  </si>
  <si>
    <t>Zimbabwe</t>
  </si>
  <si>
    <t>Electricity Access</t>
  </si>
  <si>
    <t>M300 National Energy Compacts</t>
  </si>
  <si>
    <t>Generation Capacity &amp; Supply Mix</t>
  </si>
  <si>
    <t>Demand</t>
  </si>
  <si>
    <t>Networks &amp; Losses</t>
  </si>
  <si>
    <t>Efficiency - System Losses (%)</t>
  </si>
  <si>
    <t>World Bank UPBEAT Database</t>
  </si>
  <si>
    <t>Connections</t>
  </si>
  <si>
    <t>Grid Connections – New (connections)</t>
  </si>
  <si>
    <t>Grid Connections – New (HH)</t>
  </si>
  <si>
    <t>Off-grid Connections Target (connections)</t>
  </si>
  <si>
    <t>Off-grid Connections Target (Mini-grids)</t>
  </si>
  <si>
    <t>Off-grid Connections Target (Solar kits)</t>
  </si>
  <si>
    <t>Off-grid Connections Target (HH)</t>
  </si>
  <si>
    <t>Mini-grid Sites Target (count)</t>
  </si>
  <si>
    <t>Mini-grid Capacity Target (MW)</t>
  </si>
  <si>
    <t>SHS Connections Target (connections)</t>
  </si>
  <si>
    <t>Finance</t>
  </si>
  <si>
    <t>World Bank Financing (USD)</t>
  </si>
  <si>
    <t>AfDB Financing (USD)</t>
  </si>
  <si>
    <t>Other Donor Financing (USD)</t>
  </si>
  <si>
    <t>Utility &amp; Tariffs</t>
  </si>
  <si>
    <t>Operating and debt service cost recovery, excluding subsidies (%)</t>
  </si>
  <si>
    <t>Liquidity - Collection Rate (%)</t>
  </si>
  <si>
    <t>Renewables, Climate &amp; Efficiency</t>
  </si>
  <si>
    <t>Clean Cooking</t>
  </si>
  <si>
    <t>Clean cooking access, urban - current (%)</t>
  </si>
  <si>
    <t>Clean cooking access, rural - current (%)</t>
  </si>
  <si>
    <t>Clean cooking access by electricity - current (%)</t>
  </si>
  <si>
    <t>Clean cooking access by biogas - current (%)</t>
  </si>
  <si>
    <t>Clean cooking access by LPG - current (%)</t>
  </si>
  <si>
    <t>Clean cooking access by bioethanol - current (%)</t>
  </si>
  <si>
    <t>Clean cooking access by other technologies - current (%)</t>
  </si>
  <si>
    <t>Clean cooking access - 2030 target (persons)</t>
  </si>
  <si>
    <t>Population with clean cooking access (%)</t>
  </si>
  <si>
    <t>Total people with clean cooking access (additional persons)</t>
  </si>
  <si>
    <t>Total people with clean cooking access (households)</t>
  </si>
  <si>
    <t>Electricity Access (derived)</t>
  </si>
  <si>
    <t>Current electricity access gap (million)</t>
  </si>
  <si>
    <t>2030 electricity access gap (million)</t>
  </si>
  <si>
    <t>Electricity access gap reduction, 2024-2030 (million)</t>
  </si>
  <si>
    <t>Electricity access population increase, 2024-2030 (million)</t>
  </si>
  <si>
    <t>Clean Cooking Access (derived)</t>
  </si>
  <si>
    <t>Current clean cooking access gap (million)</t>
  </si>
  <si>
    <t>2030 clean cooking access gap (million)</t>
  </si>
  <si>
    <t>Clean cooking access gap reduction, 2024-2030 (million)</t>
  </si>
  <si>
    <t>Clean cooking population increase, 2024-2030 (million)</t>
  </si>
  <si>
    <t>Compact Timeline</t>
  </si>
  <si>
    <t>Population</t>
  </si>
  <si>
    <t>2024 population (million)</t>
  </si>
  <si>
    <t>World Bank Open Database</t>
  </si>
  <si>
    <t>2030 Projected population (million)</t>
  </si>
  <si>
    <t>UN World Population Prospects</t>
  </si>
  <si>
    <t>DRC</t>
  </si>
  <si>
    <t>Clean Cooking Access</t>
  </si>
  <si>
    <t>USD per Unserved Person</t>
  </si>
  <si>
    <t>MW per Million People</t>
  </si>
  <si>
    <t>Investment per MW Installed (USD/MW)</t>
  </si>
  <si>
    <t>Access Gap (% to Universal)</t>
  </si>
  <si>
    <t>Renewable Share Increase (% points)</t>
  </si>
  <si>
    <t>2024 population with electricity access (million)</t>
  </si>
  <si>
    <t>2030 population with electricity access (million)</t>
  </si>
  <si>
    <t>2024 population with clean cooking access (million)</t>
  </si>
  <si>
    <t>2030 population with clean cooking access (million)</t>
  </si>
  <si>
    <r>
      <rPr>
        <sz val="10"/>
        <color rgb="FF38761D"/>
        <rFont val="Arial"/>
      </rPr>
      <t xml:space="preserve">Electricity access population </t>
    </r>
    <r>
      <rPr>
        <b/>
        <u/>
        <sz val="10"/>
        <color rgb="FF38761D"/>
        <rFont val="Arial"/>
      </rPr>
      <t>increase</t>
    </r>
    <r>
      <rPr>
        <sz val="10"/>
        <color rgb="FF38761D"/>
        <rFont val="Arial"/>
      </rPr>
      <t>, 2024-2030 (million)</t>
    </r>
  </si>
  <si>
    <r>
      <rPr>
        <sz val="10"/>
        <color rgb="FF38761D"/>
        <rFont val="Arial"/>
      </rPr>
      <t xml:space="preserve">Clean cooking population </t>
    </r>
    <r>
      <rPr>
        <b/>
        <u/>
        <sz val="10"/>
        <color rgb="FF38761D"/>
        <rFont val="Arial"/>
      </rPr>
      <t>increase</t>
    </r>
    <r>
      <rPr>
        <sz val="10"/>
        <color rgb="FF38761D"/>
        <rFont val="Arial"/>
      </rPr>
      <t>, 2024-2030 (million)</t>
    </r>
  </si>
  <si>
    <t>2024 electricity access gap, population (million)</t>
  </si>
  <si>
    <t>2030 electricity access gap, population (million)</t>
  </si>
  <si>
    <t>2024 clean cooking access gap, population (million)</t>
  </si>
  <si>
    <t>2030 clean cooking access gap, population (million)</t>
  </si>
  <si>
    <r>
      <rPr>
        <sz val="10"/>
        <color rgb="FF38761D"/>
        <rFont val="Arial"/>
      </rPr>
      <t xml:space="preserve">Electricity access gap </t>
    </r>
    <r>
      <rPr>
        <b/>
        <u/>
        <sz val="10"/>
        <color rgb="FF38761D"/>
        <rFont val="Arial"/>
      </rPr>
      <t>decrease</t>
    </r>
    <r>
      <rPr>
        <sz val="10"/>
        <color rgb="FF38761D"/>
        <rFont val="Arial"/>
      </rPr>
      <t>, population, 2024-2030 (million)</t>
    </r>
  </si>
  <si>
    <r>
      <rPr>
        <sz val="10"/>
        <color rgb="FF38761D"/>
        <rFont val="Arial"/>
      </rPr>
      <t xml:space="preserve">Clean cooking access gap </t>
    </r>
    <r>
      <rPr>
        <b/>
        <u/>
        <sz val="10"/>
        <color rgb="FF38761D"/>
        <rFont val="Arial"/>
      </rPr>
      <t>decrease</t>
    </r>
    <r>
      <rPr>
        <sz val="10"/>
        <color rgb="FF38761D"/>
        <rFont val="Arial"/>
      </rPr>
      <t>, population, 2024-2030 (million)</t>
    </r>
  </si>
  <si>
    <t>Investment per MW, investment intensity (USD/MW)</t>
  </si>
  <si>
    <t>MW per investment, investment efficiency (MW/USD)</t>
  </si>
  <si>
    <t>MW per investment, investment efficiency (MW/USD billion)</t>
  </si>
  <si>
    <t>Row 29</t>
  </si>
  <si>
    <t>Row 30</t>
  </si>
  <si>
    <t>Row 35</t>
  </si>
  <si>
    <t>Row 26</t>
  </si>
  <si>
    <t>Row 36</t>
  </si>
  <si>
    <t>Row 27</t>
  </si>
  <si>
    <t xml:space="preserve">Indicator </t>
  </si>
  <si>
    <t xml:space="preserve"> </t>
  </si>
  <si>
    <t>30 MWp</t>
  </si>
  <si>
    <t>2025</t>
  </si>
  <si>
    <t>2024</t>
  </si>
  <si>
    <t>2030</t>
  </si>
  <si>
    <t>2040</t>
  </si>
  <si>
    <t>2029</t>
  </si>
  <si>
    <t>Scoring legend:</t>
  </si>
  <si>
    <t>0 = Not mentioned</t>
  </si>
  <si>
    <t>1 = Mentioned</t>
  </si>
  <si>
    <t>2 = Operationalised (actions, reforms, or institutions named)</t>
  </si>
  <si>
    <t>National definition of electricity access stated</t>
  </si>
  <si>
    <t>Alignment with SDG 7 electricity access definition</t>
  </si>
  <si>
    <t>Treatment of reliability and quality of electricity supply</t>
  </si>
  <si>
    <t>Recognition of suppressed or latent electricity demand</t>
  </si>
  <si>
    <t>Explicit rationale for urban–rural access differentiation</t>
  </si>
  <si>
    <t>Priority regions or populations explicitly identified</t>
  </si>
  <si>
    <t>Integration of population growth assumptions in access planning</t>
  </si>
  <si>
    <t>Consideration of productive-use electricity demand</t>
  </si>
  <si>
    <t>Explicit prioritisation between grid, mini-grid, and off-grid solutions</t>
  </si>
  <si>
    <t>Use of least-cost or geospatial electrification planning</t>
  </si>
  <si>
    <t>Assumptions underpinning installed capacity expansion targets</t>
  </si>
  <si>
    <t>Justification for renewable versus thermal generation mix</t>
  </si>
  <si>
    <t>Consideration of climate resilience in generation planning</t>
  </si>
  <si>
    <t>Strategy for managing peak demand growth</t>
  </si>
  <si>
    <t>Defined role of battery storage in the power system</t>
  </si>
  <si>
    <t>Rationale for transmission network expansion</t>
  </si>
  <si>
    <t>Consideration of regional power trade or interconnections</t>
  </si>
  <si>
    <t>Strategy for reducing technical system losses</t>
  </si>
  <si>
    <t>Strategy for reducing commercial or non-technical losses</t>
  </si>
  <si>
    <t>Distribution network strengthening approach described</t>
  </si>
  <si>
    <t>Utility governance and institutional autonomy framework</t>
  </si>
  <si>
    <t>Explicit reforms proposed for utility financial sustainability</t>
  </si>
  <si>
    <t>Tariff-setting methodology described</t>
  </si>
  <si>
    <t>Political or social constraints on tariff adjustment acknowledged</t>
  </si>
  <si>
    <t>Measures to improve billing and revenue collection</t>
  </si>
  <si>
    <t>Strategy to improve cost-recovery performance</t>
  </si>
  <si>
    <t>Private-sector participation model defined</t>
  </si>
  <si>
    <t>Risk mitigation mechanisms for private investors described</t>
  </si>
  <si>
    <t>Clear delineation of public versus private financing roles</t>
  </si>
  <si>
    <t>Reliance on concessional finance or grants acknowledged</t>
  </si>
  <si>
    <t>Donor coordination or financing alignment mechanism described</t>
  </si>
  <si>
    <t>Alignment of the Compact with national development plans</t>
  </si>
  <si>
    <t>Integration of energy efficiency as a demand-side measure</t>
  </si>
  <si>
    <t>Treatment of electricity affordability for low-income households</t>
  </si>
  <si>
    <t>Explicit last-mile connectivity strategy</t>
  </si>
  <si>
    <t>Mini-grid regulatory framework described</t>
  </si>
  <si>
    <t>Policy certainty for off-grid and SHS markets</t>
  </si>
  <si>
    <t>Operation and maintenance responsibilities defined</t>
  </si>
  <si>
    <t>Institutional accountability for Compact implementation</t>
  </si>
  <si>
    <t>Monitoring, reporting, and verification framework defined</t>
  </si>
  <si>
    <t>Transparency of baseline data and data sources</t>
  </si>
  <si>
    <t>Definition of clean cooking access stated</t>
  </si>
  <si>
    <t>Clean cooking technology pathways specified</t>
  </si>
  <si>
    <t>Consideration of clean cooking fuel supply chains</t>
  </si>
  <si>
    <t>Affordability mechanisms for clean cooking adoption</t>
  </si>
  <si>
    <t>Linkage between clean cooking, health, or environmental objectives</t>
  </si>
  <si>
    <t>Treatment of emissions reduction as a core goal or co-benefit</t>
  </si>
  <si>
    <t>Alignment of Compact timelines with national planning cycles</t>
  </si>
  <si>
    <t>Explicit risks and implementation constraints acknowledged</t>
  </si>
  <si>
    <t>Overall realism and credibility of stated targets</t>
  </si>
  <si>
    <t>Defines access as “ensemble des ménages ayant accès à l’électricité intégrant les raccordements au réseau, les mini-réseaux et les kits” (footnote defining access; p.2).</t>
  </si>
  <si>
    <t>Explicit alignment with ODD 7 and definition of reliable, affordable, modern energy (p.2).</t>
  </si>
  <si>
    <t>Repeated use of “électricité fiable, abordable et suffisante” and operational actions: SCADA, smart meters, storage, loss reduction (pp.6–8, 17–25).</t>
  </si>
  <si>
    <t>Implicit via references to rising demand from mobility, cooking, and growth, but not framed as “suppressed demand” (Table 5, p.15).</t>
  </si>
  <si>
    <t>Explicit last-mile focus, rural electrification funds (FERER), mini-grids and SHS for off-grid areas (Pillar III).</t>
  </si>
  <si>
    <t>Regional breakdowns (Zone Sud / Zone Nord) and rural/off-grid households identified for programmes (pp.17–18).</t>
  </si>
  <si>
    <t>Population numbers used for access targets, but growth dynamics not explicitly modelled (Table 2, p.11).</t>
  </si>
  <si>
    <t>Mention of mobility, industry, and economic growth drivers without explicit PUE strategy (Table 5, p.15).</t>
  </si>
  <si>
    <t>Clear quantitative targets by modality (Table 3, p.12).</t>
  </si>
  <si>
    <t>Explicit use of SIG électrique and geospatial prioritisation (pp.16–18).</t>
  </si>
  <si>
    <t>Detailed MW targets for solar, thermal, storage, and timelines (pp.15–16).</t>
  </si>
  <si>
    <t>Renewables for sustainability; thermal for reliability and baseload (Pillars I–II).</t>
  </si>
  <si>
    <t>Referenced indirectly through CDN alignment and renewables; no explicit resilience metrics (p.2).</t>
  </si>
  <si>
    <t>Mentioned via storage and system optimisation, not explicitly modelled (pp.8, 15).</t>
  </si>
  <si>
    <t>Explicit pilots, MW targets, and regulatory actions (pp.8, 15–16).</t>
  </si>
  <si>
    <t>Regional interconnections, 330 kV lines, WAPP integration (pp.6–7).</t>
  </si>
  <si>
    <t>Strong WAPP engagement and regional market participation (Pillar II).</t>
  </si>
  <si>
    <t>Targets (24.6% → 15%), smart grids, network upgrades (pp.8, 23–24).</t>
  </si>
  <si>
    <t>Prepayment meters, billing digitalisation, audits (pp.8, 23–24).</t>
  </si>
  <si>
    <t>Rehabilitation, densification, SCADA, smart meters (pp.17–18).</t>
  </si>
  <si>
    <t>ARE autonomy, performance contracts, audits (pp.7–8, 23).</t>
  </si>
  <si>
    <t>Cost recovery, FERER, performance plans (pp.7–8, 21–24).</t>
  </si>
  <si>
    <t>ARE-validated tariffs, tariff guide, long-term PPAs (pp.21–22).</t>
  </si>
  <si>
    <t>No explicit political or social resistance discussed → 0.</t>
  </si>
  <si>
    <t>Prepayment, smart meters, digital payments (pp.8, 23–24).</t>
  </si>
  <si>
    <t>100% OPEX recovery target, KPI contracts (p.23).</t>
  </si>
  <si>
    <t>IPP, PPP law 2024-30, FERER guarantees (pp.7, 20–22).</t>
  </si>
  <si>
    <t>Escrow accounts, FERER guarantees, take-or-pay PPAs (pp.21–22).</t>
  </si>
  <si>
    <t>Detailed financing table by source (Table 1, p.9).</t>
  </si>
  <si>
    <t>PTF and donor support acknowledged but not quantified as grants (pp.2, 8).</t>
  </si>
  <si>
    <t>Formal committees, PTF participation in governance (pp.26–27).</t>
  </si>
  <si>
    <t>Explicit alignment with PND, SNE, PONADER, CDN, SNCP (p.2).</t>
  </si>
  <si>
    <t>Dedicated programmes and financing lines (pp.7, 9, 16).</t>
  </si>
  <si>
    <t>Subsidies, FERER, last-mile financing, tariff moderation (pp.7–8, 16).</t>
  </si>
  <si>
    <t>Mini-grids, SHS, subsidised connections (Pillar III).</t>
  </si>
  <si>
    <t>Decree 2022-474, licensing platforms (pp.7, 20).</t>
  </si>
  <si>
    <t>Clear fiscal exemptions, subsidies, programme teams (pp.20–22).</t>
  </si>
  <si>
    <t>Defined roles: SBEE, SBPE, CONTRELEC, DGPER (pp.26–27).</t>
  </si>
  <si>
    <t>Steering committee + operational cell (pp.26–27).</t>
  </si>
  <si>
    <t>Dashboards, KPIs, quarterly reporting (pp.23–27).</t>
  </si>
  <si>
    <t>Explicit baselines, sources, annexed indicators (Annex III).</t>
  </si>
  <si>
    <t>Defined via fuels and technologies (p.6, Table 2).</t>
  </si>
  <si>
    <t>GPL, biogas, electric cooking, improved stoves (p.6).</t>
  </si>
  <si>
    <t>Implicit via LPG promotion; no logistics detail (pp.6–7).</t>
  </si>
  <si>
    <t>Subsidies, fiscal exemptions, SNCP financing (pp.7, 21–22).</t>
  </si>
  <si>
    <t>Indirect via CDN and sustainability framing (p.2).</t>
  </si>
  <si>
    <t>Treated as co-benefit via renewables and CDN (p.2).</t>
  </si>
  <si>
    <t>2030 targets aligned with national plans and PND cycle (pp.2, 11).</t>
  </si>
  <si>
    <t>Acknowledged implicitly (capacity, financing, reforms) but not as a risk register.</t>
  </si>
  <si>
    <t>Detailed targets, financing, institutions → high credibility.</t>
  </si>
  <si>
    <t>Country</t>
  </si>
  <si>
    <t>Value (as stated in National Energy Compact)</t>
  </si>
  <si>
    <t>Status</t>
  </si>
  <si>
    <t>Notes</t>
  </si>
  <si>
    <t>42.6% (2024)</t>
  </si>
  <si>
    <t>✅ Fully usable</t>
  </si>
  <si>
    <t>Not stated</t>
  </si>
  <si>
    <t>❌ Completely absent</t>
  </si>
  <si>
    <t>⚠️ Implicitly referenced</t>
  </si>
  <si>
    <t>199 MW</t>
  </si>
  <si>
    <t>794 MW</t>
  </si>
  <si>
    <t>62.3 MW</t>
  </si>
  <si>
    <t>417 MW</t>
  </si>
  <si>
    <t>Not stated (projects only)</t>
  </si>
  <si>
    <t>Not stated as target</t>
  </si>
  <si>
    <t>1,449.1 km</t>
  </si>
  <si>
    <t>Not stated (project-level only)</t>
  </si>
  <si>
    <t>24.62% (2024)</t>
  </si>
  <si>
    <t>15% (2030)</t>
  </si>
  <si>
    <t>928,000 households</t>
  </si>
  <si>
    <t>Not stated as single target</t>
  </si>
  <si>
    <t>Total Investment Required (EUR)</t>
  </si>
  <si>
    <t>≈ USD 2,360,000,000</t>
  </si>
  <si>
    <t>⚠️ Approximate</t>
  </si>
  <si>
    <t>Public Financing Required (EUR)</t>
  </si>
  <si>
    <t>≈ USD 1,420,000,000</t>
  </si>
  <si>
    <t>Private Financing Required (EUR)</t>
  </si>
  <si>
    <t>≈ USD 940,000,000</t>
  </si>
  <si>
    <t>Cost Recovery Ratio</t>
  </si>
  <si>
    <t>Policy target ≥100%</t>
  </si>
  <si>
    <t>Utility Collection Rate (%)</t>
  </si>
  <si>
    <t>Target ≥95% (zones)</t>
  </si>
  <si>
    <t>CO₂ Emissions Reduction (tCO₂)</t>
  </si>
  <si>
    <t>Clean cooking access – current (%)</t>
  </si>
  <si>
    <t>Clean cooking access, urban – current (%)</t>
  </si>
  <si>
    <t>Clean cooking access, rural – current (%)</t>
  </si>
  <si>
    <t>Clean cooking access by electricity – current (%)</t>
  </si>
  <si>
    <t>Clean cooking access by biogas – current (%)</t>
  </si>
  <si>
    <t>Clean cooking access by LPG – current (%)</t>
  </si>
  <si>
    <t>Clean cooking access by bioethanol – current (%)</t>
  </si>
  <si>
    <t>Clean cooking access – 2030 target (%)</t>
  </si>
  <si>
    <t>50% of households</t>
  </si>
  <si>
    <t>Total people with clean cooking access (persons)</t>
  </si>
  <si>
    <t>1,285,000 households</t>
  </si>
  <si>
    <t xml:space="preserve">Botswana </t>
  </si>
  <si>
    <t>76.6% (2024/25)</t>
  </si>
  <si>
    <t>&gt;90%</t>
  </si>
  <si>
    <t>Not stated numerically</t>
  </si>
  <si>
    <t>~24% of population</t>
  </si>
  <si>
    <t>892 MW (March 2025)</t>
  </si>
  <si>
    <t>950 MW (domestic) / 1,850 MW (with exports)</t>
  </si>
  <si>
    <t>74.6 MW</t>
  </si>
  <si>
    <t>475 MW (domestic) / 1,850 MW (export scenario)</t>
  </si>
  <si>
    <t>1,500 MW by 2030</t>
  </si>
  <si>
    <t>100 MW</t>
  </si>
  <si>
    <t>140 MW BESS (power)</t>
  </si>
  <si>
    <t>678 MW (2024)</t>
  </si>
  <si>
    <t>&gt;4,000 km</t>
  </si>
  <si>
    <t>14.35–14.51%</t>
  </si>
  <si>
    <t>220,000 households</t>
  </si>
  <si>
    <t>61,000 households</t>
  </si>
  <si>
    <t>6 pilot villages</t>
  </si>
  <si>
    <t>USD 2.06–2.98 billion</t>
  </si>
  <si>
    <t>USD 1.414 billion</t>
  </si>
  <si>
    <t>USD 646–1,570 million</t>
  </si>
  <si>
    <t>Target ≥100%</t>
  </si>
  <si>
    <t>7–8.2%</t>
  </si>
  <si>
    <t>66.6% (2021/22)</t>
  </si>
  <si>
    <t>~420,000 households</t>
  </si>
  <si>
    <t>25.9% (2025)</t>
  </si>
  <si>
    <t>≈ 11.6 million people</t>
  </si>
  <si>
    <t>204.882 MW (2025)</t>
  </si>
  <si>
    <t>410 MW (domestic)</t>
  </si>
  <si>
    <t>Not stated as MW</t>
  </si>
  <si>
    <t>≈ 254 MW (projects in plan)</t>
  </si>
  <si>
    <t>≈ 155.5 MW (named projects)</t>
  </si>
  <si>
    <t>≈ 650 km</t>
  </si>
  <si>
    <t>704 km by 2030</t>
  </si>
  <si>
    <t>6,578 km MT; 51,839 km BT</t>
  </si>
  <si>
    <t>≈ 1.9 million households</t>
  </si>
  <si>
    <t>≈ 410,000 households (mini-grids)</t>
  </si>
  <si>
    <t>300 sites</t>
  </si>
  <si>
    <t>300 MW</t>
  </si>
  <si>
    <t>850,000 systems</t>
  </si>
  <si>
    <t>USD 3.49 billion</t>
  </si>
  <si>
    <t>USD 1.95 billion (56%)</t>
  </si>
  <si>
    <t>USD 1.54 billion (44%)</t>
  </si>
  <si>
    <t>Project-specific only</t>
  </si>
  <si>
    <t>Not consolidated</t>
  </si>
  <si>
    <t>≥100% (policy objective)</t>
  </si>
  <si>
    <t>343.72 Gg CO₂e</t>
  </si>
  <si>
    <t>40% of population</t>
  </si>
  <si>
    <t>≈ 6 million people (target)</t>
  </si>
  <si>
    <t>≈ 1.2 million households</t>
  </si>
  <si>
    <t>74% (2025)</t>
  </si>
  <si>
    <t>≈ 33 million people to be served by 2030</t>
  </si>
  <si>
    <t>≈ 3,000 MW (reference target already stated)</t>
  </si>
  <si>
    <t>3,000 MW</t>
  </si>
  <si>
    <t>10% of generation mix by 2030</t>
  </si>
  <si>
    <t>Project pipeline cited (e.g. Chollet 600 MW, Kikot 500 MW)</t>
  </si>
  <si>
    <t>Not stated (projects listed only)</t>
  </si>
  <si>
    <t>90% distribution efficiency by 2030</t>
  </si>
  <si>
    <t>⚠️ Implicitly refe</t>
  </si>
  <si>
    <t>≈ 8 million people by 2030</t>
  </si>
  <si>
    <t>USD 12,554,000,000</t>
  </si>
  <si>
    <t>USD 1,588,000,000</t>
  </si>
  <si>
    <t>USD 6,372,000,000</t>
  </si>
  <si>
    <t>Policy objective (financial equilibrium)</t>
  </si>
  <si>
    <t>72% baseline → 90% target</t>
  </si>
  <si>
    <t>≈ 5% (solar reference)</t>
  </si>
  <si>
    <t>23.4% (2022)</t>
  </si>
  <si>
    <t>≈ 13.4 million people (2030)</t>
  </si>
  <si>
    <t>❌ Compl</t>
  </si>
  <si>
    <t>&lt;1%</t>
  </si>
  <si>
    <t>&gt;14 million people</t>
  </si>
  <si>
    <t>487 MW (235 MW available)</t>
  </si>
  <si>
    <t>+866 MW additional capacity</t>
  </si>
  <si>
    <t>866 MW</t>
  </si>
  <si>
    <t>520 MW solar (of 866 MW)</t>
  </si>
  <si>
    <t>520 MW</t>
  </si>
  <si>
    <t>Via imports (≥120 MW from Cameroon)</t>
  </si>
  <si>
    <t>60 MWh (RESPITE project)</t>
  </si>
  <si>
    <t>HT: 114 km; MT: 882 km</t>
  </si>
  <si>
    <t>HT: 271 km; MT: 129.2 km</t>
  </si>
  <si>
    <t>BT: 195 km (extension)</t>
  </si>
  <si>
    <t>39% (ATCC)</t>
  </si>
  <si>
    <t>&lt;15% by 2027</t>
  </si>
  <si>
    <t>&gt;17.5 million people by 2030</t>
  </si>
  <si>
    <t>20% of access via SHS</t>
  </si>
  <si>
    <t>30,000 kits (2024)</t>
  </si>
  <si>
    <t>USD 1,950,000,000</t>
  </si>
  <si>
    <t>USD 1,299,744,000</t>
  </si>
  <si>
    <t>USD 650,256,000</t>
  </si>
  <si>
    <t>Project-based only (IDA)</t>
  </si>
  <si>
    <t>Project-based only</t>
  </si>
  <si>
    <t>⚠️ Implicitly referenc</t>
  </si>
  <si>
    <t>0.175 USD/kWh</t>
  </si>
  <si>
    <t>51% (current)</t>
  </si>
  <si>
    <t>45% (2019)</t>
  </si>
  <si>
    <t>9–10%</t>
  </si>
  <si>
    <t>Not quantified</t>
  </si>
  <si>
    <t>≈ 5.5 million households (target)</t>
  </si>
  <si>
    <t>5.5 million households</t>
  </si>
  <si>
    <t>Ngazidja 95%; Anjouan 49%; Mohéli 87%</t>
  </si>
  <si>
    <t>≈ 80% of connected households (2024)</t>
  </si>
  <si>
    <t>≈ 20% of connected households (2024)</t>
  </si>
  <si>
    <t>≈ 226,615 people (2030, at current pace)</t>
  </si>
  <si>
    <t>≈ 53 MW installed; 22 MW available (2024)</t>
  </si>
  <si>
    <t>≈ 13 MW solar; 0.712 MW hydro</t>
  </si>
  <si>
    <t>Not stated (pipeline only)</t>
  </si>
  <si>
    <t>≈ 19.6 MWh (existing solar plants)</t>
  </si>
  <si>
    <t>26.2 MW</t>
  </si>
  <si>
    <t>37% (technical + commercial)</t>
  </si>
  <si>
    <t>&lt;20% by 2030</t>
  </si>
  <si>
    <t>62,310 households (2025–2030)</t>
  </si>
  <si>
    <t>≈ 3,739 households/year (mini-grids + SHS)</t>
  </si>
  <si>
    <t>USD 390,210,000</t>
  </si>
  <si>
    <t>USD 117,000,000 (30%)</t>
  </si>
  <si>
    <t>USD 273,000,000 (70%)</t>
  </si>
  <si>
    <t>USD 101.4 million (pipeline)</t>
  </si>
  <si>
    <t>0.43 USD/kWh</t>
  </si>
  <si>
    <t>Utility Collection Rate – Current (%)</t>
  </si>
  <si>
    <t>80% (2024)</t>
  </si>
  <si>
    <t>Utility Collection Rate – Target (%)</t>
  </si>
  <si>
    <t>&gt;90% by 2030</t>
  </si>
  <si>
    <t>≈ 318,467 people (target)</t>
  </si>
  <si>
    <t>Cote d'Ivoire</t>
  </si>
  <si>
    <t>64% (taux de desserte, 2023)</t>
  </si>
  <si>
    <t>≈ 17 million people to be connected by 2030</t>
  </si>
  <si>
    <t>⚠️ Implic</t>
  </si>
  <si>
    <t>2,907 MW (2023)</t>
  </si>
  <si>
    <t>5,128 MW</t>
  </si>
  <si>
    <t>1,374 MW (additional)</t>
  </si>
  <si>
    <t>909 MW (hydro + solar)</t>
  </si>
  <si>
    <t>2,283 MW</t>
  </si>
  <si>
    <t>399 MW (additional by 2030)</t>
  </si>
  <si>
    <t>829 MW (additional by 2030)</t>
  </si>
  <si>
    <t>7,553 km (400–225–90 kV, 2023)</t>
  </si>
  <si>
    <t>Target 10,212 km (by 2030)</t>
  </si>
  <si>
    <t>Target 93,848 km (by 2030)</t>
  </si>
  <si>
    <t>≈ 3.07 million new households (2023–2030)</t>
  </si>
  <si>
    <t>≈ 5.8 million people via mini-grids &amp; SHS (2030)</t>
  </si>
  <si>
    <t>❌ Completely abs</t>
  </si>
  <si>
    <t>USD 8.46 billion (2024–2030)</t>
  </si>
  <si>
    <t>USD 4.62 billion</t>
  </si>
  <si>
    <t>USD 1.94 billion</t>
  </si>
  <si>
    <t>⚠️ Implicitly</t>
  </si>
  <si>
    <t>Quasi-equilibrium (qualitative)</t>
  </si>
  <si>
    <t>31% of installed capacity (2023)</t>
  </si>
  <si>
    <t>6,319,428 tCO₂e avoided by 2030</t>
  </si>
  <si>
    <t>❌ Com</t>
  </si>
  <si>
    <t>≈ 20% (butane users, 2023)</t>
  </si>
  <si>
    <t>20% (butane)</t>
  </si>
  <si>
    <t>50% of population</t>
  </si>
  <si>
    <t>≈ 2.4 million households (target)</t>
  </si>
  <si>
    <t>2.4 million households</t>
  </si>
  <si>
    <t>Democractic Republic of Congo</t>
  </si>
  <si>
    <t>21.5% (2024)</t>
  </si>
  <si>
    <t>60.8% (Kinshasa)</t>
  </si>
  <si>
    <t>&lt;5% in 22 provinces</t>
  </si>
  <si>
    <t>≈ 60 million people</t>
  </si>
  <si>
    <t>3,067 MW (≈70% available)</t>
  </si>
  <si>
    <t>13,576 MW</t>
  </si>
  <si>
    <t>Not stated explicitly</t>
  </si>
  <si>
    <t>≈ 99% hydro-dominated</t>
  </si>
  <si>
    <t>4,000 MWc (private sector)</t>
  </si>
  <si>
    <t>Project pipeline (Inga, Ruzizi III, etc.)</t>
  </si>
  <si>
    <t>New corridors planned (no km)</t>
  </si>
  <si>
    <t>46% (2022)</t>
  </si>
  <si>
    <t>15% by 2030</t>
  </si>
  <si>
    <t>≈ 60 million people by 2030</t>
  </si>
  <si>
    <t>USD 37,048,660,000</t>
  </si>
  <si>
    <t>USD 17,314,100,000</t>
  </si>
  <si>
    <t>USD 19,734,550,000</t>
  </si>
  <si>
    <t>≈ USD 0.09/kWh</t>
  </si>
  <si>
    <t>Below cost (qualitative)</t>
  </si>
  <si>
    <t>61% (2022)</t>
  </si>
  <si>
    <t>100% of operating costs by 2029</t>
  </si>
  <si>
    <t>95% (maintained)</t>
  </si>
  <si>
    <t>≈ 5%</t>
  </si>
  <si>
    <t>≈ 2% (Kinshasa)</t>
  </si>
  <si>
    <t>≈ 40 million people</t>
  </si>
  <si>
    <t>≈ 5 million households</t>
  </si>
  <si>
    <t>44% (Basic electricity service, Tier 1 and above)</t>
  </si>
  <si>
    <t>✅</t>
  </si>
  <si>
    <t>Not stated as an urban access %</t>
  </si>
  <si>
    <t>❌</t>
  </si>
  <si>
    <t>57% (2024) (rural access figure given, not explicitly Tier 1+)</t>
  </si>
  <si>
    <t>⚠️</t>
  </si>
  <si>
    <t>75% (Tier 1 and above)</t>
  </si>
  <si>
    <t>Not stated as people (but 56% remain without basic electricity service)</t>
  </si>
  <si>
    <t>9,761 MW (2025)</t>
  </si>
  <si>
    <t>Up to 14,000 MW</t>
  </si>
  <si>
    <t>Not stated as a single “renewable MW” total (but generation breakdown is given: Hydro 9,212 MW; Wind 524 MW; Waste-to-energy 25 MW)</t>
  </si>
  <si>
    <t>Not stated as “renewable MW”</t>
  </si>
  <si>
    <t>Solar (public) committed: 325 MW; Solar IPP/PPP planned: 225 MW; Solar planned but finance required: 625 MW</t>
  </si>
  <si>
    <t>✅ (project/plan values)</t>
  </si>
  <si>
    <t>Wind planned but finance required: 802 MW; Wind (Aysha I) under construction: 300 MW</t>
  </si>
  <si>
    <t>Hydro (Koysha) under construction: 1,800 MW</t>
  </si>
  <si>
    <t>✅ (project value)</t>
  </si>
  <si>
    <t>20,390 km (2025)</t>
  </si>
  <si>
    <t>Not stated as “added km” (but target network length is 30,000 km, and 6,398.36 km to be financed through the Compact is stated)</t>
  </si>
  <si>
    <t>Not stated as “added km” (but distribution network length grows from 179,000 km to 456,000 km)</t>
  </si>
  <si>
    <t>&gt;27% total losses</t>
  </si>
  <si>
    <t>&lt;19% total losses</t>
  </si>
  <si>
    <t>Not stated as “connections” (but &gt;9.23 million additional households are stated)</t>
  </si>
  <si>
    <t>Not stated as a number (but off-grid is 30% share of access expansion)</t>
  </si>
  <si>
    <t>US$ 9,646.04 million (Indicative funding needs 2026–2030)</t>
  </si>
  <si>
    <t>US$ 6,584.24 million</t>
  </si>
  <si>
    <t>US$ 3,061.8 million</t>
  </si>
  <si>
    <t>Not stated as a financing amount</t>
  </si>
  <si>
    <t>Not stated as a consolidated financing amount</t>
  </si>
  <si>
    <t>&lt;60% cost recovery (OPEX + debt service) baseline; 100% cost recovery by 2028</t>
  </si>
  <si>
    <t>Current not stated (only “low collection rates”); Target: &gt;90% collection rate</t>
  </si>
  <si>
    <t>⚠️ (current ❌ / target ✅)</t>
  </si>
  <si>
    <t>&gt;95% of installed capacity from renewable sources</t>
  </si>
  <si>
    <t>Not stated as an overall renewable share % (non-hydro RE target is stated separately)</t>
  </si>
  <si>
    <t>Not stated in tCO2 (but &gt;30 MtCO₂e energy-sector mitigation by 2030 and 75 MtCO₂e clean cooking reduction are stated)</t>
  </si>
  <si>
    <t>8% of the population</t>
  </si>
  <si>
    <t>Not stated as clean cooking % (but biomass reliance shares are stated)</t>
  </si>
  <si>
    <t>Not stated as clean cooking access by electricity % (but “electricity accounts for 21% of cooking energy in urban areas”)</t>
  </si>
  <si>
    <t>57.74% of the population</t>
  </si>
  <si>
    <t>Clean cooking</t>
  </si>
  <si>
    <t>Not specified as a standalone indicator/value</t>
  </si>
  <si>
    <t>Not separately stated beyond the access rate</t>
  </si>
  <si>
    <t>2024 (Implementation roadmap 2024–2030 is stated)</t>
  </si>
  <si>
    <t>73.7% (2024)</t>
  </si>
  <si>
    <t>&gt;97% (Banjul &amp; Kanifing)</t>
  </si>
  <si>
    <t>≈ 45% (2024)</t>
  </si>
  <si>
    <t>≈ 633,000 people</t>
  </si>
  <si>
    <t>99 MW installed / 40 MW available (2025)</t>
  </si>
  <si>
    <t>Not stated as a single MW figure</t>
  </si>
  <si>
    <t>≈ 23 MW solar + imports included (13% RE share)</t>
  </si>
  <si>
    <t>150 MW (Soma Solar Phase I 50 MW + Phase II 100 MW)</t>
  </si>
  <si>
    <t>Not stated (imports only)</t>
  </si>
  <si>
    <t>80 MW thermal (HFO/CCGT)</t>
  </si>
  <si>
    <t>10 MW / 40 MWh BESS (Phase I)</t>
  </si>
  <si>
    <t>HV: 18 km (225 kV)</t>
  </si>
  <si>
    <t>Eastern Backbone: 200 km (225 kV)</t>
  </si>
  <si>
    <t>21–21.52% (2024)</t>
  </si>
  <si>
    <t>18% by 2030</t>
  </si>
  <si>
    <t>≈ 20,000 households/year</t>
  </si>
  <si>
    <t>Not stated as a number</t>
  </si>
  <si>
    <t>0.24 MW (2 × 120 kW existing)</t>
  </si>
  <si>
    <t>USD 552,000,000</t>
  </si>
  <si>
    <t>USD 305,000,000</t>
  </si>
  <si>
    <t>USD 247,000,000</t>
  </si>
  <si>
    <t>USD 0.21/kWh</t>
  </si>
  <si>
    <t>Below cost recovery (qualitative)</t>
  </si>
  <si>
    <t>13% (incl. imports)</t>
  </si>
  <si>
    <t>25% (2024)</t>
  </si>
  <si>
    <t>Not stated as %</t>
  </si>
  <si>
    <t>Not stated beyond access rate</t>
  </si>
  <si>
    <t>89% (also stated as 89.03%)</t>
  </si>
  <si>
    <t>Fully usable</t>
  </si>
  <si>
    <t>“access rate of 89%” Ghana-National-Energy-Compact-M…
 ; “89.03%” Ghana-National-Energy-Compact-M…</t>
  </si>
  <si>
    <t>—</t>
  </si>
  <si>
    <t>Completely absent</t>
  </si>
  <si>
    <t>No urban access-rate % provided (only a regional comment about Northern Ghana ~60%). Ghana-National-Energy-Compact-M…</t>
  </si>
  <si>
    <t>Not stated. Ghana-National-Energy-Compact-M…</t>
  </si>
  <si>
    <t>99% (also shown as 99.8% in Annex III)</t>
  </si>
  <si>
    <t>“Achieve 99%” Ghana-National-Energy-Compact-M…
 ; Annex III “99.8%” Ghana-National-Energy-Compact-M…</t>
  </si>
  <si>
    <t>Not stated.</t>
  </si>
  <si>
    <t>~3.7 million</t>
  </si>
  <si>
    <t>“11%… (~3.7 million Ghanaians) remains unelectrified.” Ghana-National-Energy-Compact-M…</t>
  </si>
  <si>
    <t>~5,641 MW (also Annex III: 4.8 GW = 4,800 MW, “70% available”)</t>
  </si>
  <si>
    <t>Narrative: “~5,641 MW in 2024” Ghana-National-Energy-Compact-M…
 ; Annex III: “4.8 GW (70% available)” Ghana-National-Energy-Compact-M…</t>
  </si>
  <si>
    <t>Annex III: 6.2 GW = 6,200 MW (“85% available”)</t>
  </si>
  <si>
    <t>Annex III. Ghana-National-Energy-Compact-M…</t>
  </si>
  <si>
    <t>Not stated as “new generation required.”</t>
  </si>
  <si>
    <t>DRE installed capacity: 60.8 MW</t>
  </si>
  <si>
    <t>Fully usable (but partial scope)</t>
  </si>
  <si>
    <t>This is Distributed Renewable Energy only, not total RE capacity. Ghana-National-Energy-Compact-M…</t>
  </si>
  <si>
    <t>Targets are given by technology (solar/wind/hydro), not a single “total renewable capacity.” Ghana-National-Energy-Compact-M…</t>
  </si>
  <si>
    <t>850 MW</t>
  </si>
  <si>
    <t>“Solar – 850 MW” Ghana-National-Energy-Compact-M…</t>
  </si>
  <si>
    <t>200 MW</t>
  </si>
  <si>
    <t>“Wind – 200 MW” Ghana-National-Energy-Compact-M…</t>
  </si>
  <si>
    <t>150 MW</t>
  </si>
  <si>
    <t>“Hydro – 150 MW” Ghana-National-Energy-Compact-M…</t>
  </si>
  <si>
    <t>No gas MW target stated.</t>
  </si>
  <si>
    <t>BESS mentioned, but no explicit MWh target. Ghana-National-Energy-Compact-M…</t>
  </si>
  <si>
    <t>Peak demand is discussed only as a % reduction goal, not MW. Ghana-National-Energy-Compact-M…</t>
  </si>
  <si>
    <t>6,472.2 circuit-kilometers</t>
  </si>
  <si>
    <t>Transmission network spans “6,472.2 circuit-kilometers.” Ghana-National-Energy-Compact-M…</t>
  </si>
  <si>
    <t>Implicitly referenced</t>
  </si>
  <si>
    <t>Upgrades/new corridors and 330kV lines are listed, but no added km total. Ghana-National-Energy-Compact-M…</t>
  </si>
  <si>
    <t>No km added stated.</t>
  </si>
  <si>
    <t>ATC&amp;C losses ~25%; ECG distribution losses 27% (2024); transmission losses ~4–5%</t>
  </si>
  <si>
    <t>Fully usable (multiple definitions)</t>
  </si>
  <si>
    <t>Loss metrics given in different forms.</t>
  </si>
  <si>
    <t>ECG distribution losses reduced to 23% by 2030</t>
  </si>
  <si>
    <t>Target explicitly stated. Ghana-National-Energy-Compact-M…</t>
  </si>
  <si>
    <t>660,000 new households (grid extension)</t>
  </si>
  <si>
    <t>Fully usable (households, not “connections”)</t>
  </si>
  <si>
    <t>Compact target text uses households. Ghana-National-Energy-Compact-M…</t>
  </si>
  <si>
    <t>Off-grid targets are stated as mini-grids/SHS counts, not “connections” total.</t>
  </si>
  <si>
    <t>400 mini-grids</t>
  </si>
  <si>
    <t>“400 mini-grids…”</t>
  </si>
  <si>
    <t>No MW capacity target for mini-grids.</t>
  </si>
  <si>
    <t>Annex III: 1,000,000 (Solar Home Systems)</t>
  </si>
  <si>
    <t>Annex III lists SHS baseline/target. Ghana-National-Energy-Compact-M…</t>
  </si>
  <si>
    <t>$4.4 billion (also shown as $4,404 million)</t>
  </si>
  <si>
    <t>“US$4.4 billion” Ghana-National-Energy-Compact-M…
 ; breakdown table totals 4,404 (US$ millions). Ghana-National-Energy-Compact-M…</t>
  </si>
  <si>
    <t>$1,793 million (= $1,793,000,000)</t>
  </si>
  <si>
    <t>Public total in US$ millions table. Ghana-National-Energy-Compact-M…</t>
  </si>
  <si>
    <t>$2,611 million (= $2,611,000,000)</t>
  </si>
  <si>
    <t>Private total in US$ millions table. Ghana-National-Energy-Compact-M…</t>
  </si>
  <si>
    <t>$260M (PforR: $260M (WB))</t>
  </si>
  <si>
    <t>Fully usable (as cited program amount)</t>
  </si>
  <si>
    <t>Listed in Annex III alignment/projects notes. Ghana-National-Energy-Compact-M…</t>
  </si>
  <si>
    <t>$85M (SREP: $85M (AfDB))</t>
  </si>
  <si>
    <t>Donors referenced, but no single “other donor” amount. Ghana-National-Energy-Compact-M…</t>
  </si>
  <si>
    <t>Tariff reform discussed, but no average tariff value given. Ghana-National-Energy-Compact-M…</t>
  </si>
  <si>
    <t>“Full cost recovery by 2027” is stated, but no numeric ratio. Ghana-National-Energy-Compact-M…</t>
  </si>
  <si>
    <t>ECG collection efficiency 86% (2023)</t>
  </si>
  <si>
    <t>Explicit baseline provided. Ghana-National-Energy-Compact-M…</t>
  </si>
  <si>
    <t>4% (as of 2024)</t>
  </si>
  <si>
    <t>“Increase… from 4% to 10% by 2030”; also repeated in targets.</t>
  </si>
  <si>
    <t>Target stated.</t>
  </si>
  <si>
    <t>DSM target is 2.5% annual peak-demand cut, but no GWh/year. Ghana-National-Energy-Compact-M…</t>
  </si>
  <si>
    <t>“from 36.9% to 50% by 2030”</t>
  </si>
  <si>
    <t>Only fuel-use split examples (e.g., urban LPG share) not “clean cooking access %”. Ghana-National-Energy-Compact-M…</t>
  </si>
  <si>
    <t>Not stated as “clean cooking access %”. Ghana-National-Energy-Compact-M…</t>
  </si>
  <si>
    <t>“electricity… negligible” (no %). Ghana-National-Energy-Compact-M…</t>
  </si>
  <si>
    <t>31% urban households use LPG as primary cooking fuel; 5% rural</t>
  </si>
  <si>
    <t>Fully usable (but not “clean cooking access”)</t>
  </si>
  <si>
    <t>These are LPG primary-fuel shares, not “clean cooking access.” Ghana-National-Energy-Compact-M…</t>
  </si>
  <si>
    <t>Same as “clean cooking access - current (%)”. Ghana-National-Energy-Compact-M…</t>
  </si>
  <si>
    <t>Annex III: 3.1 million (2022); target 5 million</t>
  </si>
  <si>
    <t>Annex III: “Clean Cooking Connections 3.1 million (2022) … 5 million”. Ghana-National-Energy-Compact-M…</t>
  </si>
  <si>
    <t>Not stated as households.</t>
  </si>
  <si>
    <t>2025 (implementation/investment window stated as 2025–2030)</t>
  </si>
  <si>
    <t>“required during 2025 to 2030” Ghana-National-Energy-Compact-M…</t>
  </si>
  <si>
    <t>Targets framed to 2030 throughout. Ghana-National-Energy-Compact-M…</t>
  </si>
  <si>
    <t>Universal access by 2030 is the core compact objective.</t>
  </si>
  <si>
    <t>53% (2024)</t>
  </si>
  <si>
    <t>≈ 7.75 million people</t>
  </si>
  <si>
    <t>1,310 MW (2024)</t>
  </si>
  <si>
    <t>3,827 MW</t>
  </si>
  <si>
    <t>2,517 MW</t>
  </si>
  <si>
    <t>817 MW hydro (62% of mix)</t>
  </si>
  <si>
    <t>≈ 2,689 MW (hydro + solar)</t>
  </si>
  <si>
    <t>1,086 MW (additional)</t>
  </si>
  <si>
    <t>791 MW (additional)</t>
  </si>
  <si>
    <t>Not stated (thermal only)</t>
  </si>
  <si>
    <t>3,894 MW (forecast demand)</t>
  </si>
  <si>
    <t>1,600 km (225–110–60–30 kV)</t>
  </si>
  <si>
    <t>≈ 352 km (to reach 1,952 km)</t>
  </si>
  <si>
    <t>8% by 2030</t>
  </si>
  <si>
    <t>19% SHS; 10% mini-grids (share of new access)</t>
  </si>
  <si>
    <t>714 localities</t>
  </si>
  <si>
    <t>1,326 localities</t>
  </si>
  <si>
    <t>USD 8,900,000,000</t>
  </si>
  <si>
    <t>USD 1,263,000,000</t>
  </si>
  <si>
    <t>USD 7,641,000,000</t>
  </si>
  <si>
    <t>≈ USD 7.6 billion (partners)</t>
  </si>
  <si>
    <t>USD 0.10/kWh</t>
  </si>
  <si>
    <t>≈ 45%</t>
  </si>
  <si>
    <t>Financial balance by 2029</t>
  </si>
  <si>
    <t>≈ 1% (butane + electricity in 2022)</t>
  </si>
  <si>
    <t>≈ 4.1 million people (additional)</t>
  </si>
  <si>
    <t>&gt;75% (2024)</t>
  </si>
  <si>
    <t>≈ 25% of population</t>
  </si>
  <si>
    <t>2,627 MW clean energy (baseline)</t>
  </si>
  <si>
    <t>5,952 MW clean energy</t>
  </si>
  <si>
    <t>≈ 3,325 MW clean energy</t>
  </si>
  <si>
    <t>83% of installed capacity</t>
  </si>
  <si>
    <t>100% clean energy</t>
  </si>
  <si>
    <t>807 MW</t>
  </si>
  <si>
    <t>966 MW</t>
  </si>
  <si>
    <t>1,403 MW</t>
  </si>
  <si>
    <t>Not stated (LNG mentioned qualitatively)</t>
  </si>
  <si>
    <t>400 MWh</t>
  </si>
  <si>
    <t>9,484 km</t>
  </si>
  <si>
    <t>+8,000 km by 2030</t>
  </si>
  <si>
    <t>+212,937 km by 2030</t>
  </si>
  <si>
    <t>Transmission losses: 4.5%; Distribution losses: 11.19%</t>
  </si>
  <si>
    <t>Transmission: 3.5%; Distribution: 9.3%</t>
  </si>
  <si>
    <t>5.1 million households</t>
  </si>
  <si>
    <t>Mini-grids + SHS (quantified by households)</t>
  </si>
  <si>
    <t>199,048 households via mini-grids</t>
  </si>
  <si>
    <t>≈ 1.2 million households (baseline)</t>
  </si>
  <si>
    <t>USD 19,115,000,000</t>
  </si>
  <si>
    <t>USD 14,002,000,000</t>
  </si>
  <si>
    <t>USD 5,113,000,000</t>
  </si>
  <si>
    <t>Cost-reflective tariffs policy (no ratio)</t>
  </si>
  <si>
    <t>1.3% of population</t>
  </si>
  <si>
    <t>0.3% of population</t>
  </si>
  <si>
    <t>30.7% of households</t>
  </si>
  <si>
    <t>1.8% of population</t>
  </si>
  <si>
    <t>4.8 million households (baseline)</t>
  </si>
  <si>
    <t>15 million households (target)</t>
  </si>
  <si>
    <t>Population Without Electricity (people / households)</t>
  </si>
  <si>
    <t>47% of households</t>
  </si>
  <si>
    <t>104.7 MW</t>
  </si>
  <si>
    <t>Not stated as a single total</t>
  </si>
  <si>
    <t>≈ 104.3 MW (99.6% of mix)</t>
  </si>
  <si>
    <t>100% renewable</t>
  </si>
  <si>
    <t>164 MW (listed projects)</t>
  </si>
  <si>
    <t>60 MW</t>
  </si>
  <si>
    <t>1.1 MW (Katse) + others listed</t>
  </si>
  <si>
    <t>600 MWh</t>
  </si>
  <si>
    <t>≈ 209 MW</t>
  </si>
  <si>
    <t>≈ 550 km (low-voltage)</t>
  </si>
  <si>
    <t>26,400 households/year</t>
  </si>
  <si>
    <t>18,900 households/year</t>
  </si>
  <si>
    <t>11 existing + 10 planned</t>
  </si>
  <si>
    <t>18,212 households/year</t>
  </si>
  <si>
    <t>USD 1,970,200,000</t>
  </si>
  <si>
    <t>USD 499,700,000</t>
  </si>
  <si>
    <t>USD 1,470,500,000</t>
  </si>
  <si>
    <t>USD 52.9 million</t>
  </si>
  <si>
    <t>USD 10.6 million</t>
  </si>
  <si>
    <t>EU/GIZ USD 18.9m; JICA USD 8.9m; Exim China USD 67.4m</t>
  </si>
  <si>
    <t>100% operational cost recovery (target)</t>
  </si>
  <si>
    <t>45.2% (2024)</t>
  </si>
  <si>
    <t>Explicitly excluded</t>
  </si>
  <si>
    <t>&gt;50%</t>
  </si>
  <si>
    <t>&lt;10%</t>
  </si>
  <si>
    <t>≈ 67% of population</t>
  </si>
  <si>
    <t>126 MW installed (74% available)</t>
  </si>
  <si>
    <t>Not stated as a single MW total</t>
  </si>
  <si>
    <t>Generation base to increase by 150%</t>
  </si>
  <si>
    <t>≈ 88 MW hydro (≈70%)</t>
  </si>
  <si>
    <t>238 MW renewable (of 266 MW total)</t>
  </si>
  <si>
    <t>172 MW (utility-scale solar pipeline)</t>
  </si>
  <si>
    <t>150 MW (Saint Paul 2 HPP)</t>
  </si>
  <si>
    <t>Not stated (HFO only referenced)</t>
  </si>
  <si>
    <t>5 MWh (SCATEC solar + BESS project)</t>
  </si>
  <si>
    <t>108 MW</t>
  </si>
  <si>
    <t>≈ 1,398 km (HV + MV total)</t>
  </si>
  <si>
    <t>Aggregate technical, commercial &amp; collection losses: 45.4%</t>
  </si>
  <si>
    <t>100,000 households per year (target pace)</t>
  </si>
  <si>
    <t>≈ 40,000 households/year</t>
  </si>
  <si>
    <t>49,441 SHS (cumulative)</t>
  </si>
  <si>
    <t>USD 1,500,000,000</t>
  </si>
  <si>
    <t>USD 1,150,000,000</t>
  </si>
  <si>
    <t>USD 140,000,000</t>
  </si>
  <si>
    <t>USD 200,000,000 (LESSAP)</t>
  </si>
  <si>
    <t>UA 24.4 million (REEL Project)</t>
  </si>
  <si>
    <t>EU, Sweden, USAID (project-based amounts listed)</t>
  </si>
  <si>
    <t>USD 0.23/kWh</t>
  </si>
  <si>
    <t>Operating loss = 37% of revenue (FY2023)</t>
  </si>
  <si>
    <t>100% operational cost recovery by 2028</t>
  </si>
  <si>
    <t>67% (on-grid)</t>
  </si>
  <si>
    <t>0.8% of population (9,545 people)</t>
  </si>
  <si>
    <t>Not yet defined (strategy pending)</t>
  </si>
  <si>
    <t>⚠️ (electricity target is 75%, not universal)</t>
  </si>
  <si>
    <t>72% (2022)</t>
  </si>
  <si>
    <t>11% (2022)</t>
  </si>
  <si>
    <t>≈ 19 million people</t>
  </si>
  <si>
    <t>828 MW installed; 478 MW available (2024)</t>
  </si>
  <si>
    <t>≈ 45% of mix (≈ 240 MW hydro)</t>
  </si>
  <si>
    <t>893 MW (solar + hydro, cumulative)</t>
  </si>
  <si>
    <t>560 MW by 2028 (solar)</t>
  </si>
  <si>
    <t>16 MW (first wind project)</t>
  </si>
  <si>
    <t>≈ 374 MW (Volobe, Sahofika, Ranomafana)</t>
  </si>
  <si>
    <t>≈ 30% (technical + commercial)</t>
  </si>
  <si>
    <t>&lt;16% by 2030</t>
  </si>
  <si>
    <t>3.5 million new connections (2023–2030)</t>
  </si>
  <si>
    <t>≈ 80% of new access via SHS &amp; mini-grids</t>
  </si>
  <si>
    <t>&gt;200 operational; 115 JIRAMA isolated grids</t>
  </si>
  <si>
    <t>USD 7,200,000,000</t>
  </si>
  <si>
    <t>≈ USD 2,880,000,000 (≈40%)</t>
  </si>
  <si>
    <t>≈ USD 4,320,000,000 (≈60%)</t>
  </si>
  <si>
    <t>Not stated as a total</t>
  </si>
  <si>
    <t>≈ USD 1.15 billion (pipeline)</t>
  </si>
  <si>
    <t>≈ USD 0.28/kWh (IPP average)</t>
  </si>
  <si>
    <t>80% (2023)</t>
  </si>
  <si>
    <t>≥85%</t>
  </si>
  <si>
    <t>≈ 4.1 million people</t>
  </si>
  <si>
    <t>≈ 0.8 million households</t>
  </si>
  <si>
    <t>⚠️ (electricity target is 80%)</t>
  </si>
  <si>
    <t>25.9% (2023)</t>
  </si>
  <si>
    <t>56.5% (grid, 2023)</t>
  </si>
  <si>
    <t>3.8% (grid, 2023)</t>
  </si>
  <si>
    <t>59.5% (2030 projection)</t>
  </si>
  <si>
    <t>24.1% (2030 projection)</t>
  </si>
  <si>
    <t>≈ 74.1% of population</t>
  </si>
  <si>
    <t>550 MW</t>
  </si>
  <si>
    <t>1,490 MW (IRP)</t>
  </si>
  <si>
    <t>≈ 499 MW (hydro + solar)</t>
  </si>
  <si>
    <t>≈ 96% of mix (capacity not isolated)</t>
  </si>
  <si>
    <t>353 MW (solar + wind combined)</t>
  </si>
  <si>
    <t>Not stated separately</t>
  </si>
  <si>
    <t>Not stated as a single target</t>
  </si>
  <si>
    <t>774 MW</t>
  </si>
  <si>
    <t>2,650 km</t>
  </si>
  <si>
    <t>1,940 km (planned)</t>
  </si>
  <si>
    <t>22,417 km (planned)</t>
  </si>
  <si>
    <t>1.15 million (to 2030)</t>
  </si>
  <si>
    <t>1.55 million (to 2030)</t>
  </si>
  <si>
    <t>3 mini-grids</t>
  </si>
  <si>
    <t>244,000 households/year</t>
  </si>
  <si>
    <t>USD 5,500,000,000</t>
  </si>
  <si>
    <t>Not stated as a single figure</t>
  </si>
  <si>
    <t>USD 1,622,800,000 (cumulative to 2030)</t>
  </si>
  <si>
    <t>USD 530.8 million committed</t>
  </si>
  <si>
    <t>100% achieved in 2022–23 (before devaluation)</t>
  </si>
  <si>
    <t>100% operational cost recovery</t>
  </si>
  <si>
    <t>90.2% (2024)</t>
  </si>
  <si>
    <t>4,090.75 ktCO₂e (2030)</t>
  </si>
  <si>
    <t>24.5% of households</t>
  </si>
  <si>
    <t>Clean cooking access by bioethanol/paraffin – current (%)</t>
  </si>
  <si>
    <t>⚠️ (70% electricity target)</t>
  </si>
  <si>
    <t>55% (2023)</t>
  </si>
  <si>
    <t>98% (SCAPP target)</t>
  </si>
  <si>
    <t>80% (SCAPP target)</t>
  </si>
  <si>
    <t>≈ 3.4 million people</t>
  </si>
  <si>
    <t>615.1 MW installed; 520.1 MW available (2023)</t>
  </si>
  <si>
    <t>×1.66 current capacity (no MW total)</t>
  </si>
  <si>
    <t>≈ 44.36% of installed capacity</t>
  </si>
  <si>
    <t>70% of mix (no MW)</t>
  </si>
  <si>
    <t>50 MWc (Kiffa) + multiple IPPs listed</t>
  </si>
  <si>
    <t>30 MW existing (Nouadhibou)</t>
  </si>
  <si>
    <t>OMVS share (no MW assigned)</t>
  </si>
  <si>
    <t>225 MW CCGT (GTA gas)</t>
  </si>
  <si>
    <t>30 MWh (Kiffa BESS)</t>
  </si>
  <si>
    <t>1,950 km (HT 225/90 kV)</t>
  </si>
  <si>
    <t>≈ 2,550 km (to reach ~4,500 km)</t>
  </si>
  <si>
    <t>≈ +4,550 km MT/BT (to &gt;10,000 km)</t>
  </si>
  <si>
    <t>≈ 30% combined losses</t>
  </si>
  <si>
    <t>80% technico-commercial efficiency</t>
  </si>
  <si>
    <t>3,389,524 people (to 2030)</t>
  </si>
  <si>
    <t>≈ 1,054,204 people (mini-grids + SHS)</t>
  </si>
  <si>
    <t>120 localities (RIMDIR)</t>
  </si>
  <si>
    <t>435,249 people (SHS)</t>
  </si>
  <si>
    <t>USD 3,067,300,000</t>
  </si>
  <si>
    <t>USD 1,220,260,000</t>
  </si>
  <si>
    <t>USD 1,225,800,000</t>
  </si>
  <si>
    <t>Project-based (PIEMM, META)</t>
  </si>
  <si>
    <t>Project-based (DtP, PIEMM)</t>
  </si>
  <si>
    <t>≈ USD 621,240,000 secured</t>
  </si>
  <si>
    <t>77.47% technico-commercial performance (2023)</t>
  </si>
  <si>
    <t>100% cost recovery by 2030</t>
  </si>
  <si>
    <t>44.36% (2023)</t>
  </si>
  <si>
    <t>≈ 1.4 million tCO₂/year avoided</t>
  </si>
  <si>
    <t>54% (2023)</t>
  </si>
  <si>
    <t>Shown graphically, not numeric</t>
  </si>
  <si>
    <t>Clean cooking access by LPG/gas – current (%)</t>
  </si>
  <si>
    <t>Included in total, not split</t>
  </si>
  <si>
    <t>Clean cooking access by bioethanol</t>
  </si>
  <si>
    <t>12% annual increase rate (no final %)</t>
  </si>
  <si>
    <t>0.48 million households (additional)</t>
  </si>
  <si>
    <t>60.1% (2024)</t>
  </si>
  <si>
    <t>Not stated directly</t>
  </si>
  <si>
    <t>2,922 MW (2024)</t>
  </si>
  <si>
    <t>+3.1 GW (additional)</t>
  </si>
  <si>
    <t>4,344 MW hydro; 303 MW solar; 245 MW wind</t>
  </si>
  <si>
    <t>303 MW</t>
  </si>
  <si>
    <t>245 MW</t>
  </si>
  <si>
    <t>4,344 MW</t>
  </si>
  <si>
    <t>1,004 MW</t>
  </si>
  <si>
    <t>5,289 km (HV &amp; MV)</t>
  </si>
  <si>
    <t>≈ 2,000 km (400 kV backbone)</t>
  </si>
  <si>
    <t>24% (2024)</t>
  </si>
  <si>
    <t>4.9 million (to 2030)</t>
  </si>
  <si>
    <t>435,000 connections/year</t>
  </si>
  <si>
    <t>98 mini-grids (11.6 MW)</t>
  </si>
  <si>
    <t>11.6 MW (existing)</t>
  </si>
  <si>
    <t>175,235 SHS (2024)</t>
  </si>
  <si>
    <t>USD 18,620,000,000</t>
  </si>
  <si>
    <t>USD 9,923,000,000</t>
  </si>
  <si>
    <t>USD 8,698,000,000</t>
  </si>
  <si>
    <t>Project-based (no total)</t>
  </si>
  <si>
    <t>Multiple projects listed</t>
  </si>
  <si>
    <t>≥100% operational cost recovery (2023)</t>
  </si>
  <si>
    <t>100% cost recovery annually</t>
  </si>
  <si>
    <t>78.4% (2024)</t>
  </si>
  <si>
    <t>80.6% (2032)</t>
  </si>
  <si>
    <t>Clean cooking access by other technologies – current (%)</t>
  </si>
  <si>
    <t>4.5 million households (target)</t>
  </si>
  <si>
    <t>59.5% (2023)</t>
  </si>
  <si>
    <t>212,519 rural HH + 94,005 urban HH (households)</t>
  </si>
  <si>
    <t>695 MW (Dec 2024)</t>
  </si>
  <si>
    <t>1,149 MW</t>
  </si>
  <si>
    <t>454 MW additional</t>
  </si>
  <si>
    <t>498.5 MW</t>
  </si>
  <si>
    <t>952.5 MW</t>
  </si>
  <si>
    <t>466.5 MW</t>
  </si>
  <si>
    <t>99 MW</t>
  </si>
  <si>
    <t>347 MW</t>
  </si>
  <si>
    <t>96 MWh</t>
  </si>
  <si>
    <t>673 MW (2024)</t>
  </si>
  <si>
    <t>175,000 households</t>
  </si>
  <si>
    <t>35,000 households</t>
  </si>
  <si>
    <t>USD 1,764,000,000</t>
  </si>
  <si>
    <t>USD 1,353,000,000</t>
  </si>
  <si>
    <t>USD 411,000,000</t>
  </si>
  <si>
    <t>Note: Baynes Hydropower Project (USD 1.6 billion) is explicitly excluded from Compact totals and presented separately.</t>
  </si>
  <si>
    <t>Target ≥100% operational cost recovery</t>
  </si>
  <si>
    <t>54% (energy basis)</t>
  </si>
  <si>
    <t>48.5% (2023)</t>
  </si>
  <si>
    <t>55.1% (urban)</t>
  </si>
  <si>
    <t>21.8% (urban)</t>
  </si>
  <si>
    <t>200,000 new households (target)</t>
  </si>
  <si>
    <t>20.84% (2022)</t>
  </si>
  <si>
    <t>✅ Niger-M300-AES-Compact</t>
  </si>
  <si>
    <t>Not stated as a national urban % (only city/capital ranges cited in narrative)</t>
  </si>
  <si>
    <t>⚠️ Niger-M300-AES-Compact</t>
  </si>
  <si>
    <t>5.3% rural (MTF study referenced)</t>
  </si>
  <si>
    <t>60% (PDAE objective / government commitment)</t>
  </si>
  <si>
    <t>352 MW installed / 210 MW available</t>
  </si>
  <si>
    <t>“complément de plus de 300 MW” (solar PV) and “700 MW” (thermal plants) by 2030</t>
  </si>
  <si>
    <t>Not stated as MW total; Renewable = 12% of installed capacity</t>
  </si>
  <si>
    <t>Not stated as MW total; Target renewable share = 30%</t>
  </si>
  <si>
    <t>Bangoula 70 MWc (2027); Zabori 80 MWc (2030); Gorou Banda 50 MWc (Scaling Solar)</t>
  </si>
  <si>
    <t>Tarka wind park 250 MW (phase 148 MW planned by 2030)</t>
  </si>
  <si>
    <t>Kandadji hydropower 128 MW (project cited)</t>
  </si>
  <si>
    <t>240 MW (gaz)</t>
  </si>
  <si>
    <t>20 MWh battery storage (Gorou-Banda plateau, ECOREAB description)</t>
  </si>
  <si>
    <t>HTB: 1,428.8 km (66 kV + 132 kV)</t>
  </si>
  <si>
    <t>Explicit projects listed: 190 km (132 kV); 420 km (330 kV); 270 km (330 kV); 85 km (132 kV)</t>
  </si>
  <si>
    <t>Extension: 106.21 km (2024)</t>
  </si>
  <si>
    <t>PDAE 2030 objective includes 2,077,515 (networks densification/extension)</t>
  </si>
  <si>
    <t>Mini-grids: 115,301; Solar kits: 690,392 (PDAE 2030 objective)</t>
  </si>
  <si>
    <t>Not stated as a 2030 target count; 26 mini-grids realized in 2024 (context)</t>
  </si>
  <si>
    <t>Solar kits: 690,392 (PDAE 2030 objective)</t>
  </si>
  <si>
    <t>Not stated as a single consolidated total; stated components include 760 MUSD (access incl. kits) and 435 MUSD (renewable generation)</t>
  </si>
  <si>
    <t>Target private capital mobilized: 527 MUSD by 2030</t>
  </si>
  <si>
    <t>Examples listed: US$135M (NELACEP); US$49.89M (NESAP); (HASKE) USD 317M; US$105M (BEST); US$263.87M (Dorsale Nord); US$1.25B (Kandadji); US$35M (+ US$5M IDA) Scaling Solar</t>
  </si>
  <si>
    <t>Project amounts stated in MUC (e.g., 58.92 MUC, 62.50 MUC, 99.16 MUC) not converted to USD</t>
  </si>
  <si>
    <t>Multiple entries in MEUR/MUSD/MXOF (not consolidated)</t>
  </si>
  <si>
    <t>Not stated as a ratio; narrative says operations deficit since 2022</t>
  </si>
  <si>
    <t>5% (solar PV) in energy mix (TWh)</t>
  </si>
  <si>
    <t>≈ 6% in 2023 (stated as “environ 6%”)</t>
  </si>
  <si>
    <t>19.9% of urban households use LPG (also cited as 19.9% urban for modern fuels context)</t>
  </si>
  <si>
    <t>Not stated as a clean cooking %; narrative says three-stone cooking dominates rural</t>
  </si>
  <si>
    <t>Not stated as %; biodigesters: 300 installed</t>
  </si>
  <si>
    <t>4.6% national; 19.9% urban</t>
  </si>
  <si>
    <t>Not stated as a final %; trajectory table gives “12% en 2030 au rythme annuel de 1%” (not clearly a final access rate)</t>
  </si>
  <si>
    <t>Clean cooking additional quantitative targets stated (not in your exact indicator list, but relevant):</t>
  </si>
  <si>
    <t>GPL individual kits target (2030): 3,926,999</t>
  </si>
  <si>
    <t>Niger-M300-AES-Compact</t>
  </si>
  <si>
    <t>Biodigesters target: 6,000 (with 3,737 cited under a project)</t>
  </si>
  <si>
    <t>2024 (document is Dec 2024; baseline data labeled 2024 in annex tables)</t>
  </si>
  <si>
    <t>Two conflicting references: “accès universel… d’ici 2030” (conceptual) vs 60% by 2030 (commitment/PDAE), and coverage/80%+ by 2035 (PDAE horizon).</t>
  </si>
  <si>
    <t>100% (universal access)</t>
  </si>
  <si>
    <t>&gt;86 million people (2022)</t>
  </si>
  <si>
    <t>12,000 MW installed; 46% available</t>
  </si>
  <si>
    <t>Not stated as MW; 22% share (hydro)</t>
  </si>
  <si>
    <t>Not stated as MW; 50% share</t>
  </si>
  <si>
    <t>330 kV: 5,530 km; 132 kV: 6,800 km</t>
  </si>
  <si>
    <t>Not stated as a target</t>
  </si>
  <si>
    <t>≈ 42% ATC&amp;C losses</t>
  </si>
  <si>
    <t>Not stated as a single number</t>
  </si>
  <si>
    <t>Mini-grids: ≥93,193 HH; SHS: ≥2.93 million systems (recent years)</t>
  </si>
  <si>
    <t>158 mini-grids operational (NEP)</t>
  </si>
  <si>
    <t>62 MW (NEP); 465 MW (DARES)</t>
  </si>
  <si>
    <t>2.93 million SHS deployed (recent years)</t>
  </si>
  <si>
    <t>USD 32.7 billion (to 2030)</t>
  </si>
  <si>
    <t>USD 17.2 billion</t>
  </si>
  <si>
    <t>USD 15.5 billion</t>
  </si>
  <si>
    <t>&gt; USD 3.0 billion (multiple projects)</t>
  </si>
  <si>
    <t>USD 200 million (Nigeria Electrification Project)</t>
  </si>
  <si>
    <t>Multiple programs listed (USAID, EU, etc.)</t>
  </si>
  <si>
    <t>NGN 69/kWh (~USD 0.09/kWh)</t>
  </si>
  <si>
    <t>100% operational cost recovery (policy objective)</t>
  </si>
  <si>
    <t>22% (hydro)</t>
  </si>
  <si>
    <t>50% (including hydro)</t>
  </si>
  <si>
    <t>26% (2022)</t>
  </si>
  <si>
    <t>1% of households</t>
  </si>
  <si>
    <t>10.5% (≈7.9 million households)</t>
  </si>
  <si>
    <t>≈ 66 million people</t>
  </si>
  <si>
    <t>7.9 million LPG households</t>
  </si>
  <si>
    <t>748 MW installed</t>
  </si>
  <si>
    <t>3,701 MW</t>
  </si>
  <si>
    <t>2,953 MW additional</t>
  </si>
  <si>
    <t>214 MW hydro (29%)</t>
  </si>
  <si>
    <t>2,697 MW (72.8%)</t>
  </si>
  <si>
    <t>Included in renewables (no standalone total)</t>
  </si>
  <si>
    <t>Included in renewables (projects listed, no single MW target)</t>
  </si>
  <si>
    <t>470 MW (thermal gas)</t>
  </si>
  <si>
    <t>1,256 km (220 kV) + 500 km (110 kV)</t>
  </si>
  <si>
    <t>Projects listed, no aggregate km</t>
  </si>
  <si>
    <t>45% (2022)</t>
  </si>
  <si>
    <t>Reduction of 3% per year</t>
  </si>
  <si>
    <t>953,000 new connections</t>
  </si>
  <si>
    <t>Implicit (solar systems + mini-grids referenced)</t>
  </si>
  <si>
    <t>USD 11,543,000,000</t>
  </si>
  <si>
    <t>USD 3,276,000,000</t>
  </si>
  <si>
    <t>USD 8,267,000,000</t>
  </si>
  <si>
    <t>Project-based, not consolidated</t>
  </si>
  <si>
    <t>USD 0.09/kWh</t>
  </si>
  <si>
    <t>56% of cost recovered</t>
  </si>
  <si>
    <t>95% by 2028</t>
  </si>
  <si>
    <t>39.6% (2023)</t>
  </si>
  <si>
    <t>Included in total, not isolated</t>
  </si>
  <si>
    <t>≈ 833,000 additional households by 2030</t>
  </si>
  <si>
    <t>⚠️ (electricity target 81.3%, not full universal)</t>
  </si>
  <si>
    <t>Sao Tome &amp; Principe</t>
  </si>
  <si>
    <t>84% (2024)</t>
  </si>
  <si>
    <t>38 MW installed; 19 MW available</t>
  </si>
  <si>
    <t>≈ 5% of mix (hydro + solar)</t>
  </si>
  <si>
    <t>50% share of generation mix</t>
  </si>
  <si>
    <t>30 MWp (2030)</t>
  </si>
  <si>
    <t>9 MW (2030)</t>
  </si>
  <si>
    <t>Gas / alternative thermal Capacity Target (MW)</t>
  </si>
  <si>
    <t>10 MW (bi-fuel)</t>
  </si>
  <si>
    <t>8 MWh (linked to 11 MWp solar project)</t>
  </si>
  <si>
    <t>275 km (MV)</t>
  </si>
  <si>
    <t>2,000 (2026) + 6,000 (2027–28)</t>
  </si>
  <si>
    <t>800 households by 2028</t>
  </si>
  <si>
    <t>800 households (solar systems)</t>
  </si>
  <si>
    <t>USD 297,000,000</t>
  </si>
  <si>
    <t>USD 108,000,000</t>
  </si>
  <si>
    <t>USD 190,000,000</t>
  </si>
  <si>
    <t>Project-based (ACRE, ASCENT; no total)</t>
  </si>
  <si>
    <t>USD 13.275 million (ETISP)</t>
  </si>
  <si>
    <t>UNDP, EIB, UNIDO projects listed</t>
  </si>
  <si>
    <t>Full cost recovery targeted by 2030</t>
  </si>
  <si>
    <t>≈ 30% customers in good standing</t>
  </si>
  <si>
    <t>62% (2024)</t>
  </si>
  <si>
    <t>84% (2023/2024)</t>
  </si>
  <si>
    <t>100% (universal access by 2029)</t>
  </si>
  <si>
    <t>2.8 million people</t>
  </si>
  <si>
    <t>460 MW renewable capacity (2021)</t>
  </si>
  <si>
    <t>Not stated as MW (share only)</t>
  </si>
  <si>
    <t>Not stated as a national total</t>
  </si>
  <si>
    <t>15,000 km HTA + 24,000 km BT (distribution plan reference)</t>
  </si>
  <si>
    <t>260,149 new household connections (2023)</t>
  </si>
  <si>
    <t>1.6 million people (mini-grids); 1.2 million people (solar kits)</t>
  </si>
  <si>
    <t>Not stated as households</t>
  </si>
  <si>
    <t>USD 6.3 billion (2024–2030)</t>
  </si>
  <si>
    <t>USD 3.926 billion</t>
  </si>
  <si>
    <t>USD 2.330 billion</t>
  </si>
  <si>
    <t>Multiple projects listed (no consolidated total)</t>
  </si>
  <si>
    <t>Project-level only</t>
  </si>
  <si>
    <t>Project-level only (EU, AFD, KfW, GIZ)</t>
  </si>
  <si>
    <t>72% of operating costs covered (2021–2023 avg.)</t>
  </si>
  <si>
    <t>100% operating cost recovery (policy objective)</t>
  </si>
  <si>
    <t>29% (2024)</t>
  </si>
  <si>
    <t>≈ 53% (GPL 34% + charcoal/other improved solutions)</t>
  </si>
  <si>
    <t>Not stated as a %</t>
  </si>
  <si>
    <t>Not stated as a single %</t>
  </si>
  <si>
    <t>271 MW installed (≈140 MW available)</t>
  </si>
  <si>
    <t>1.12 GW</t>
  </si>
  <si>
    <t>≈ 46% of mix (hydro-dominant)</t>
  </si>
  <si>
    <t>392 MW (2030)</t>
  </si>
  <si>
    <t>194 MW (2030)</t>
  </si>
  <si>
    <t>≈ 320 MW (unconstrained demand estimate)</t>
  </si>
  <si>
    <t>≈ 485 MW (projected)</t>
  </si>
  <si>
    <t>802 km</t>
  </si>
  <si>
    <t>Expansion to 1,235 km by 2030</t>
  </si>
  <si>
    <t>&gt;50% (2024)</t>
  </si>
  <si>
    <t>160,000 households (on-grid)</t>
  </si>
  <si>
    <t>560,000 households</t>
  </si>
  <si>
    <t>100 additional sites (pipeline)</t>
  </si>
  <si>
    <t>Up to 40 MW by 2030 (off-grid solar)</t>
  </si>
  <si>
    <t>400,000 households</t>
  </si>
  <si>
    <t>USD 2.245 billion</t>
  </si>
  <si>
    <t>USD 835 million</t>
  </si>
  <si>
    <t>USD 1.410 billion</t>
  </si>
  <si>
    <t>Project-based, no total</t>
  </si>
  <si>
    <t>Multiple donors listed</t>
  </si>
  <si>
    <t>≈ 40% of energy purchased billed</t>
  </si>
  <si>
    <t>100% operational cost recovery (policy target)</t>
  </si>
  <si>
    <t>25% (target)</t>
  </si>
  <si>
    <t>Not stated (78% by 2030)</t>
  </si>
  <si>
    <t>70% (2024)</t>
  </si>
  <si>
    <t>≈ 3.87 million people to be connected by 2030</t>
  </si>
  <si>
    <t>267.5 MW (2024)</t>
  </si>
  <si>
    <t>1,154.5 MW</t>
  </si>
  <si>
    <t>≈ 894 MW additional</t>
  </si>
  <si>
    <t>102.5 MW (solar + hydro)</t>
  </si>
  <si>
    <t>728.5 MW (63% of capacity)</t>
  </si>
  <si>
    <t>569 MWc by 2030</t>
  </si>
  <si>
    <t>57 MW (Tetetou)</t>
  </si>
  <si>
    <t>250 MW (2029)</t>
  </si>
  <si>
    <t>156 MWh additional (2030)</t>
  </si>
  <si>
    <t>Illustrated in figures, not stated as a number</t>
  </si>
  <si>
    <t>1,273 km HT</t>
  </si>
  <si>
    <t>+1,447 km HT by 2030</t>
  </si>
  <si>
    <t>+3,761 km MT/BT</t>
  </si>
  <si>
    <t>12% by 2030</t>
  </si>
  <si>
    <t>1.3 million connections (Fonds Tinga, 2025–2030)</t>
  </si>
  <si>
    <t>133,000 solar kits + mini-grids</t>
  </si>
  <si>
    <t>Multiple projects listed, no aggregate</t>
  </si>
  <si>
    <t>Not aggregated</t>
  </si>
  <si>
    <t>133,000 kits solares</t>
  </si>
  <si>
    <t>USD 3.0 billion</t>
  </si>
  <si>
    <t>USD 1.32 billion</t>
  </si>
  <si>
    <t>USD 1.68 billion</t>
  </si>
  <si>
    <t>Project-based</t>
  </si>
  <si>
    <t>100% cost recovery targeted</t>
  </si>
  <si>
    <t>100% operating cost recovery</t>
  </si>
  <si>
    <t>≈ 26% (capacity)</t>
  </si>
  <si>
    <t>63% (capacity)</t>
  </si>
  <si>
    <t>14% (2024)</t>
  </si>
  <si>
    <t>≈ 11% (butane use)</t>
  </si>
  <si>
    <t>80% (target)</t>
  </si>
  <si>
    <t>&gt;2 million solutions distributed</t>
  </si>
  <si>
    <t>78.4% (2020, mainland)</t>
  </si>
  <si>
    <t>99.6% (mainland)</t>
  </si>
  <si>
    <t>69.6% (mainland)</t>
  </si>
  <si>
    <t>75% connectivity by 2030</t>
  </si>
  <si>
    <t>≈ 25% of population (mainland)</t>
  </si>
  <si>
    <t>3,404.20 MW (Dec 2024)</t>
  </si>
  <si>
    <t>≈ 1,973 MW by 2030</t>
  </si>
  <si>
    <t>2,011.27 MW (hydro)</t>
  </si>
  <si>
    <t>Not stated as MW total</t>
  </si>
  <si>
    <t>463 MW by 2030</t>
  </si>
  <si>
    <t>500 MW by 2030</t>
  </si>
  <si>
    <t>880 MW (large hydro by 2030)</t>
  </si>
  <si>
    <t>10 MWh + 60 MWh (Zanzibar projects)</t>
  </si>
  <si>
    <t>1,888.72 MW (Nov 2024)</t>
  </si>
  <si>
    <t>8,025.75 km (HV)</t>
  </si>
  <si>
    <t>Projects listed, no aggregate total</t>
  </si>
  <si>
    <t>14.2% (TANESCO)</t>
  </si>
  <si>
    <t>Reduction of 0.05% p.a.</t>
  </si>
  <si>
    <t>8.3 million households by 2030</t>
  </si>
  <si>
    <t>Mini-grids + SHS for ~30% of population</t>
  </si>
  <si>
    <t>68 operational (baseline)</t>
  </si>
  <si>
    <t>USD 12.889 billion</t>
  </si>
  <si>
    <t>USD 8.850 billion</t>
  </si>
  <si>
    <t>USD 4.039 billion</t>
  </si>
  <si>
    <t>USD 0.089/kWh</t>
  </si>
  <si>
    <t>≈ 80% (TANESCO)</t>
  </si>
  <si>
    <t>96% (TANESCO)</t>
  </si>
  <si>
    <t>61.8% (capacity)</t>
  </si>
  <si>
    <t>6.9% (2021)</t>
  </si>
  <si>
    <t>3.2% (mainland)</t>
  </si>
  <si>
    <t>6.9% (baseline)</t>
  </si>
  <si>
    <t>2030 (connectivity); 2034 (clean cooking)</t>
  </si>
  <si>
    <t>✅ Zambia-M300-AES-Compact</t>
  </si>
  <si>
    <t>51% rural access by 2030 (REMP target)</t>
  </si>
  <si>
    <t>⚠️ Zambia-M300-AES-Compact</t>
  </si>
  <si>
    <t>“about half of the population remains without electricity” (no people count)</t>
  </si>
  <si>
    <t>3,811.3 MW</t>
  </si>
  <si>
    <t>10,000 MW</t>
  </si>
  <si>
    <t>additional 6,200 MW by 2030</t>
  </si>
  <si>
    <t>3,336 MW (“Current Share (MW) of Renewable Energy in Generation Mix”)</t>
  </si>
  <si>
    <t>9,000 MW (“Increase renewable energy capacity to 9,000 MW”)</t>
  </si>
  <si>
    <t>3,000 MW of solar capacity by 2030</t>
  </si>
  <si>
    <t>1,192 MW (wind “from 0 to 1,192 MW” by 2030 – IRP basis)</t>
  </si>
  <si>
    <t>Not stated as a 2030 target MW</t>
  </si>
  <si>
    <t>approximately 2,500 MW</t>
  </si>
  <si>
    <t>12,705 km (2023)</t>
  </si>
  <si>
    <t>Increase to 17,913 km by 2030 (added km not stated directly)</t>
  </si>
  <si>
    <t>“Information not available” (in metrics annex)</t>
  </si>
  <si>
    <t>❌ Zambia-M300-AES-Compact</t>
  </si>
  <si>
    <t>“Information not available”</t>
  </si>
  <si>
    <t>Not stated numerically (only goal: full cost recovery by 2027)</t>
  </si>
  <si>
    <t>additional 1,459,560 connections by 2030</t>
  </si>
  <si>
    <t>additional 1,768,311 households (mini-grid + SHS) by 2030</t>
  </si>
  <si>
    <t>“1,000 mini-grid initiative” referenced (not stated as the official 2030 target count)</t>
  </si>
  <si>
    <t>Not stated as SHS-only 2030 total (bundled with mini-grid)</t>
  </si>
  <si>
    <t>US$11,880 million (Total investment requirement)</t>
  </si>
  <si>
    <t>Not stated as a single USD figure</t>
  </si>
  <si>
    <t>US$9.5 billion (private-sector investments; ~82% of total)</t>
  </si>
  <si>
    <t>Project amounts listed, no single consolidated “World Bank financing” total</t>
  </si>
  <si>
    <t>Project amounts listed, no single consolidated total</t>
  </si>
  <si>
    <t>86.2% renewable (hydro + solar) (capacity mix)</t>
  </si>
  <si>
    <t>33% non-hydro renewables (share target stated; not total renewables share)</t>
  </si>
  <si>
    <t>15.8% (households using electricity for cooking/heating)</t>
  </si>
  <si>
    <t>Not stated as an “access share” (biogas stove share appears as 0.05% of equipment types)</t>
  </si>
  <si>
    <t>Not stated separately beyond the access % figures</t>
  </si>
  <si>
    <t>January 2025 (signing date shown)</t>
  </si>
  <si>
    <t>62% (2022 Census)</t>
  </si>
  <si>
    <t>✅ Zimbabwe-National-Energy-Compac…</t>
  </si>
  <si>
    <t>100% (household access)</t>
  </si>
  <si>
    <t>38% of population lacks access (people count not given)</t>
  </si>
  <si>
    <t>⚠️ Zimbabwe-National-Energy-Compac…</t>
  </si>
  <si>
    <t>2,962 MW</t>
  </si>
  <si>
    <t>5,432 MW</t>
  </si>
  <si>
    <t>1,282 MW (2024)</t>
  </si>
  <si>
    <t>2,640 MW</t>
  </si>
  <si>
    <t>1,500 MW (licensed, before 2030)</t>
  </si>
  <si>
    <t>Not stated as a 2030 target</t>
  </si>
  <si>
    <t>Not stated (BESS mentioned qualitatively only)</t>
  </si>
  <si>
    <t>~2,000 MW</t>
  </si>
  <si>
    <t>Not stated as a total km</t>
  </si>
  <si>
    <t>1,607 km (new greenfield transmission)</t>
  </si>
  <si>
    <t>0.1608 USD/kWh (16.08 USc/kWh)</t>
  </si>
  <si>
    <t>“100% operational cost recovery by 2027” (no ratio value)</t>
  </si>
  <si>
    <t>1.9 million households (on-grid, by 2030)</t>
  </si>
  <si>
    <t>1.2 million households</t>
  </si>
  <si>
    <t>Not stated separately (bundled with off-grid)</t>
  </si>
  <si>
    <t>USD 9,134,890,000 (2025–2030)</t>
  </si>
  <si>
    <t>Not stated as a single consolidated USD figure</t>
  </si>
  <si>
    <t>“More than USD 4.42 billion”</t>
  </si>
  <si>
    <t>43% (incl. large hydro)</t>
  </si>
  <si>
    <t>48.6% of installed capacity</t>
  </si>
  <si>
    <t>38.6% of households</t>
  </si>
  <si>
    <t>2025 (Phase 1: 2025–2030)</t>
  </si>
  <si>
    <t>#ERROR!</t>
  </si>
  <si>
    <t>São Tomé and Príncipe</t>
  </si>
  <si>
    <t>Ivory Coast</t>
  </si>
  <si>
    <t>Comments</t>
  </si>
  <si>
    <t>Date</t>
  </si>
  <si>
    <t>Last Update</t>
  </si>
  <si>
    <t>Definition / Explanation</t>
  </si>
  <si>
    <t>Percentage of the total population that currently has access to electricity through grid or off-grid solutions.</t>
  </si>
  <si>
    <t>Share of the urban population with access to electricity.</t>
  </si>
  <si>
    <t>Share of the rural population with access to electricity.</t>
  </si>
  <si>
    <t>Percentage of the population targeted to have electricity access by 2030.</t>
  </si>
  <si>
    <t>Electricity access rate targeted for urban areas by 2030.</t>
  </si>
  <si>
    <t>Electricity access rate targeted for rural areas by 2030.</t>
  </si>
  <si>
    <t>Number of people currently living without electricity access.</t>
  </si>
  <si>
    <t>Total electricity generation capacity currently installed and operational.</t>
  </si>
  <si>
    <t>Total generation capacity planned to be installed by 2030.</t>
  </si>
  <si>
    <t>Additional generation capacity required to meet future demand and access targets.</t>
  </si>
  <si>
    <t>Installed electricity generation capacity from renewable energy sources.</t>
  </si>
  <si>
    <t>Renewable energy generation capacity targeted by 2030.</t>
  </si>
  <si>
    <t>Planned installed solar power capacity by 2030.</t>
  </si>
  <si>
    <t>Planned installed wind power capacity by 2030.</t>
  </si>
  <si>
    <t>Planned installed hydropower capacity by 2030.</t>
  </si>
  <si>
    <t>Planned installed gas-fired generation capacity by 2030.</t>
  </si>
  <si>
    <t>Planned electricity storage capacity to support grid stability and renewable integration.</t>
  </si>
  <si>
    <t>Highest electricity demand currently observed on the power system.</t>
  </si>
  <si>
    <t>Projected maximum electricity demand expected by 2030.</t>
  </si>
  <si>
    <t>Total length of existing high-voltage transmission lines.</t>
  </si>
  <si>
    <t>Additional transmission lines planned for construction.</t>
  </si>
  <si>
    <t>Additional electricity distribution network lines planned.</t>
  </si>
  <si>
    <t>Percentage of electricity lost through technical and non-technical losses.</t>
  </si>
  <si>
    <t>Efficiency – System Losses (%)</t>
  </si>
  <si>
    <t>Power system efficiency expressed as the inverse of system losses.</t>
  </si>
  <si>
    <t>Targeted reduction level of system losses by 2030.</t>
  </si>
  <si>
    <t>Number of new electricity connections planned through the national grid.</t>
  </si>
  <si>
    <t>Number of households planned to be newly connected to the grid.</t>
  </si>
  <si>
    <t>Total number of electricity connections planned through off-grid solutions.</t>
  </si>
  <si>
    <t>Number of off-grid connections provided via mini-grids.</t>
  </si>
  <si>
    <t>Number of off-grid connections provided via solar home systems.</t>
  </si>
  <si>
    <t>Number of households expected to gain off-grid electricity access.</t>
  </si>
  <si>
    <t>Number of mini-grid installations planned.</t>
  </si>
  <si>
    <t>Total electricity generation capacity of planned mini-grids.</t>
  </si>
  <si>
    <t>Number of Solar Home System connections targeted.</t>
  </si>
  <si>
    <t>Total estimated investment required to achieve electricity and clean cooking targets.</t>
  </si>
  <si>
    <t>Portion of total investment expected from public funding sources.</t>
  </si>
  <si>
    <t>Portion of total investment expected from private sector financing.</t>
  </si>
  <si>
    <t>Expected financing contribution from the World Bank.</t>
  </si>
  <si>
    <t>Expected financing contribution from the African Development Bank.</t>
  </si>
  <si>
    <t>Financing expected from other development partners and donors.</t>
  </si>
  <si>
    <t>Average electricity price charged per kilowatt-hour.</t>
  </si>
  <si>
    <t>Cost Recovery Ratio – Current</t>
  </si>
  <si>
    <t>Ratio of utility revenues collected to total costs incurred.</t>
  </si>
  <si>
    <t>Operating and Debt Service Cost Recovery, excluding subsidies (%)</t>
  </si>
  <si>
    <t>Share of operating and debt service costs covered by revenues without subsidies.</t>
  </si>
  <si>
    <t>Cost Recovery Ratio – Target</t>
  </si>
  <si>
    <t>Targeted cost recovery level to be achieved by the utility.</t>
  </si>
  <si>
    <t>Percentage of billed electricity revenues currently collected.</t>
  </si>
  <si>
    <t>Liquidity – Collection Rate (%)</t>
  </si>
  <si>
    <t>Measure of utility cash flow adequacy based on revenue collection.</t>
  </si>
  <si>
    <t>Targeted electricity bill collection rate.</t>
  </si>
  <si>
    <t>Share of electricity generation currently coming from renewable sources.</t>
  </si>
  <si>
    <t>Targeted renewable energy share in electricity generation by 2030.</t>
  </si>
  <si>
    <t>Estimated reduction in carbon dioxide emissions from clean energy measures.</t>
  </si>
  <si>
    <t>Annual electricity savings from energy efficiency improvements.</t>
  </si>
  <si>
    <t>Clean Cooking Access – Current (%)</t>
  </si>
  <si>
    <t>Percentage of the population currently using clean cooking technologies.</t>
  </si>
  <si>
    <t>Clean Cooking Access, Urban – Current (%)</t>
  </si>
  <si>
    <t>Share of the urban population with access to clean cooking solutions.</t>
  </si>
  <si>
    <t>Clean Cooking Access, Rural – Current (%)</t>
  </si>
  <si>
    <t>Share of the rural population with access to clean cooking solutions.</t>
  </si>
  <si>
    <t>Clean Cooking Access by Electricity (%)</t>
  </si>
  <si>
    <t>Share of the population using electricity for clean cooking.</t>
  </si>
  <si>
    <t>Clean Cooking Access by Biogas (%)</t>
  </si>
  <si>
    <t>Share of the population using biogas for clean cooking.</t>
  </si>
  <si>
    <t>Clean Cooking Access by LPG (%)</t>
  </si>
  <si>
    <t>Share of the population using liquefied petroleum gas for cooking.</t>
  </si>
  <si>
    <t>Clean Cooking Access by Bioethanol (%)</t>
  </si>
  <si>
    <t>Share of the population using bioethanol for cooking.</t>
  </si>
  <si>
    <t>Clean Cooking Access by Other Technologies (%)</t>
  </si>
  <si>
    <t>Share of the population using other clean cooking technologies.</t>
  </si>
  <si>
    <t>Clean Cooking Access – 2030 Target (%)</t>
  </si>
  <si>
    <t>Targeted clean cooking access rate by 2030.</t>
  </si>
  <si>
    <t>Clean Cooking Access – 2030 Target (persons)</t>
  </si>
  <si>
    <t>Number of people expected to have clean cooking access by 2030.</t>
  </si>
  <si>
    <t>Population with Clean Cooking Access (%)</t>
  </si>
  <si>
    <t>Share of total population with access to clean cooking solutions.</t>
  </si>
  <si>
    <t>Total People with Clean Cooking Access (additional persons)</t>
  </si>
  <si>
    <t>Number of additional people gaining clean cooking access.</t>
  </si>
  <si>
    <t>Total People with Clean Cooking Access (households)</t>
  </si>
  <si>
    <t>Number of households newly benefiting from clean cooking access.</t>
  </si>
  <si>
    <t>Current Electricity Access Gap (million)</t>
  </si>
  <si>
    <t>Number of people currently without electricity access.</t>
  </si>
  <si>
    <t>2030 Electricity Access Gap (million)</t>
  </si>
  <si>
    <t>Projected number of people without electricity access in 2030.</t>
  </si>
  <si>
    <t>Electricity Access Gap Reduction, 2024–2030 (million)</t>
  </si>
  <si>
    <t>Reduction in the electricity access gap between 2024 and 2030.</t>
  </si>
  <si>
    <t>Electricity Access Population Increase, 2024–2030 (million)</t>
  </si>
  <si>
    <t>Number of people expected to gain electricity access during 2024–2030.</t>
  </si>
  <si>
    <t>Current Clean Cooking Access Gap (million)</t>
  </si>
  <si>
    <t>Number of people currently without clean cooking access.</t>
  </si>
  <si>
    <t>2030 Clean Cooking Access Gap (million)</t>
  </si>
  <si>
    <t>Projected clean cooking access gap in 2030.</t>
  </si>
  <si>
    <t>Clean Cooking Access Gap Reduction, 2024–2030 (million)</t>
  </si>
  <si>
    <t>Expected reduction in the clean cooking access gap between 2024 and 2030.</t>
  </si>
  <si>
    <t>Clean Cooking Population Increase, 2024–2030 (million)</t>
  </si>
  <si>
    <t>Number of people expected to gain clean cooking access during the period.</t>
  </si>
  <si>
    <t>Year in which the national energy compact implementation begins.</t>
  </si>
  <si>
    <t>Year in which the national energy compact implementation ends.</t>
  </si>
  <si>
    <t>Year targeted for achieving universal access to electricity and clean cooking.</t>
  </si>
  <si>
    <t>2024 Population (million)</t>
  </si>
  <si>
    <t>Estimated total population in 2024.</t>
  </si>
  <si>
    <t>2030 Projected Population (million)</t>
  </si>
  <si>
    <t>Projected total population in 2030 based on demographic forecasts.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</si>
</sst>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"/>
  </numFmts>
  <fonts count="2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CC0000"/>
      <name val="Arial"/>
    </font>
    <font>
      <sz val="10"/>
      <color rgb="FFCC0000"/>
      <name val="Arial"/>
      <scheme val="minor"/>
    </font>
    <font>
      <sz val="10"/>
      <color rgb="FFCC0000"/>
      <name val="Arial"/>
    </font>
    <font>
      <sz val="10"/>
      <color rgb="FFCC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</font>
    <font>
      <sz val="10"/>
      <color rgb="FF073763"/>
      <name val="Arial"/>
    </font>
    <font>
      <sz val="10"/>
      <color rgb="FF073763"/>
      <name val="Arial"/>
      <scheme val="minor"/>
    </font>
    <font>
      <sz val="10"/>
      <color rgb="FF073763"/>
      <name val="Arial"/>
      <scheme val="minor"/>
    </font>
    <font>
      <sz val="10"/>
      <color rgb="FF38761D"/>
      <name val="Arial"/>
      <scheme val="minor"/>
    </font>
    <font>
      <sz val="10"/>
      <color rgb="FFFF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Arial"/>
    </font>
    <font>
      <sz val="11"/>
      <color theme="1"/>
      <name val="Arial"/>
      <scheme val="minor"/>
    </font>
    <font>
      <sz val="10"/>
      <color rgb="FF38761D"/>
      <name val="Arial"/>
    </font>
    <font>
      <b/>
      <u/>
      <sz val="10"/>
      <color rgb="FF38761D"/>
      <name val="Arial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2" fontId="8" fillId="0" borderId="0" xfId="0" applyNumberFormat="1" applyFont="1"/>
    <xf numFmtId="2" fontId="7" fillId="0" borderId="0" xfId="0" applyNumberFormat="1" applyFont="1"/>
    <xf numFmtId="2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 vertical="center"/>
    </xf>
    <xf numFmtId="2" fontId="6" fillId="0" borderId="0" xfId="0" applyNumberFormat="1" applyFont="1" applyAlignment="1">
      <alignment vertical="center"/>
    </xf>
    <xf numFmtId="0" fontId="9" fillId="0" borderId="0" xfId="0" applyFont="1"/>
    <xf numFmtId="0" fontId="10" fillId="3" borderId="0" xfId="0" applyFont="1" applyFill="1" applyAlignment="1">
      <alignment vertical="center" wrapText="1"/>
    </xf>
    <xf numFmtId="4" fontId="0" fillId="3" borderId="0" xfId="0" applyNumberForma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4" fontId="0" fillId="3" borderId="0" xfId="0" applyNumberFormat="1" applyFill="1" applyAlignment="1">
      <alignment vertical="center"/>
    </xf>
    <xf numFmtId="0" fontId="11" fillId="0" borderId="0" xfId="0" applyFont="1" applyAlignment="1">
      <alignment vertical="center"/>
    </xf>
    <xf numFmtId="0" fontId="2" fillId="3" borderId="0" xfId="0" applyFont="1" applyFill="1"/>
    <xf numFmtId="0" fontId="1" fillId="3" borderId="0" xfId="0" applyFont="1" applyFill="1"/>
    <xf numFmtId="4" fontId="1" fillId="3" borderId="0" xfId="0" applyNumberFormat="1" applyFont="1" applyFill="1"/>
    <xf numFmtId="4" fontId="12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wrapText="1"/>
    </xf>
    <xf numFmtId="4" fontId="0" fillId="3" borderId="0" xfId="0" applyNumberFormat="1" applyFill="1" applyAlignment="1">
      <alignment horizontal="right"/>
    </xf>
    <xf numFmtId="4" fontId="0" fillId="3" borderId="0" xfId="0" applyNumberFormat="1" applyFill="1"/>
    <xf numFmtId="4" fontId="1" fillId="5" borderId="0" xfId="0" applyNumberFormat="1" applyFont="1" applyFill="1"/>
    <xf numFmtId="0" fontId="11" fillId="0" borderId="0" xfId="0" applyFont="1"/>
    <xf numFmtId="0" fontId="10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0" fillId="3" borderId="0" xfId="0" applyFill="1"/>
    <xf numFmtId="0" fontId="0" fillId="0" borderId="0" xfId="0" applyAlignment="1">
      <alignment horizontal="right"/>
    </xf>
    <xf numFmtId="0" fontId="13" fillId="0" borderId="0" xfId="0" applyFont="1" applyAlignment="1">
      <alignment wrapText="1"/>
    </xf>
    <xf numFmtId="4" fontId="0" fillId="0" borderId="0" xfId="0" applyNumberFormat="1"/>
    <xf numFmtId="4" fontId="2" fillId="3" borderId="0" xfId="0" applyNumberFormat="1" applyFont="1" applyFill="1" applyAlignment="1">
      <alignment horizontal="right"/>
    </xf>
    <xf numFmtId="49" fontId="0" fillId="3" borderId="0" xfId="0" applyNumberFormat="1" applyFill="1" applyAlignment="1">
      <alignment horizontal="right"/>
    </xf>
    <xf numFmtId="4" fontId="2" fillId="3" borderId="0" xfId="0" applyNumberFormat="1" applyFont="1" applyFill="1"/>
    <xf numFmtId="49" fontId="0" fillId="3" borderId="0" xfId="0" applyNumberFormat="1" applyFill="1"/>
    <xf numFmtId="4" fontId="11" fillId="0" borderId="0" xfId="0" applyNumberFormat="1" applyFont="1"/>
    <xf numFmtId="4" fontId="0" fillId="0" borderId="0" xfId="0" applyNumberFormat="1" applyAlignment="1">
      <alignment horizontal="right"/>
    </xf>
    <xf numFmtId="4" fontId="1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horizontal="right" vertical="center"/>
    </xf>
    <xf numFmtId="0" fontId="15" fillId="3" borderId="0" xfId="0" applyFont="1" applyFill="1"/>
    <xf numFmtId="0" fontId="16" fillId="0" borderId="0" xfId="0" applyFont="1"/>
    <xf numFmtId="4" fontId="14" fillId="0" borderId="0" xfId="0" applyNumberFormat="1" applyFont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0" fontId="14" fillId="4" borderId="0" xfId="0" applyFont="1" applyFill="1" applyAlignment="1">
      <alignment vertical="center"/>
    </xf>
    <xf numFmtId="0" fontId="17" fillId="3" borderId="0" xfId="0" applyFont="1" applyFill="1"/>
    <xf numFmtId="2" fontId="10" fillId="0" borderId="0" xfId="0" applyNumberFormat="1" applyFont="1" applyAlignment="1">
      <alignment horizontal="right"/>
    </xf>
    <xf numFmtId="2" fontId="1" fillId="5" borderId="0" xfId="0" applyNumberFormat="1" applyFont="1" applyFill="1"/>
    <xf numFmtId="4" fontId="10" fillId="0" borderId="0" xfId="0" applyNumberFormat="1" applyFont="1" applyAlignment="1">
      <alignment horizontal="right"/>
    </xf>
    <xf numFmtId="2" fontId="2" fillId="3" borderId="0" xfId="0" applyNumberFormat="1" applyFont="1" applyFill="1"/>
    <xf numFmtId="2" fontId="17" fillId="3" borderId="0" xfId="0" applyNumberFormat="1" applyFont="1" applyFill="1"/>
    <xf numFmtId="2" fontId="0" fillId="3" borderId="0" xfId="0" applyNumberFormat="1" applyFill="1" applyAlignment="1">
      <alignment horizontal="right"/>
    </xf>
    <xf numFmtId="2" fontId="1" fillId="5" borderId="0" xfId="0" applyNumberFormat="1" applyFont="1" applyFill="1" applyAlignment="1">
      <alignment horizontal="right"/>
    </xf>
    <xf numFmtId="4" fontId="12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/>
    <xf numFmtId="2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4" fontId="2" fillId="0" borderId="0" xfId="0" applyNumberFormat="1" applyFont="1"/>
    <xf numFmtId="0" fontId="18" fillId="0" borderId="0" xfId="0" applyFont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9" fillId="3" borderId="0" xfId="0" applyFont="1" applyFill="1" applyAlignment="1">
      <alignment horizontal="left"/>
    </xf>
    <xf numFmtId="0" fontId="19" fillId="0" borderId="0" xfId="0" applyFont="1"/>
    <xf numFmtId="0" fontId="11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19" fillId="3" borderId="0" xfId="0" applyFont="1" applyFill="1"/>
    <xf numFmtId="0" fontId="11" fillId="0" borderId="0" xfId="0" applyFont="1" applyAlignment="1">
      <alignment wrapText="1"/>
    </xf>
    <xf numFmtId="0" fontId="1" fillId="0" borderId="0" xfId="0" applyFont="1" applyAlignment="1">
      <alignment horizontal="center"/>
    </xf>
    <xf numFmtId="10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1" fillId="0" borderId="0" xfId="0" quotePrefix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1" fillId="0" borderId="0" xfId="0" applyFont="1"/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/>
    <xf numFmtId="0" fontId="10" fillId="3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workbookViewId="0"/>
  </sheetViews>
  <sheetFormatPr defaultColWidth="12.6640625" defaultRowHeight="15.75" customHeight="1" x14ac:dyDescent="0.25"/>
  <cols>
    <col min="1" max="1" width="10.109375" customWidth="1"/>
    <col min="2" max="2" width="45.6640625" customWidth="1"/>
    <col min="3" max="3" width="78.21875" customWidth="1"/>
  </cols>
  <sheetData>
    <row r="1" spans="1:25" ht="15.75" customHeight="1" x14ac:dyDescent="0.25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25">
      <c r="A2" s="1"/>
      <c r="B2" s="3" t="s">
        <v>0</v>
      </c>
      <c r="C2" s="3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25">
      <c r="A3" s="2"/>
      <c r="B3" s="4" t="s">
        <v>2</v>
      </c>
      <c r="C3" s="4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5">
      <c r="A4" s="2"/>
      <c r="B4" s="4" t="s">
        <v>4</v>
      </c>
      <c r="C4" s="4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25">
      <c r="A5" s="2"/>
      <c r="B5" s="4" t="s">
        <v>6</v>
      </c>
      <c r="C5" s="4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25">
      <c r="A6" s="2"/>
      <c r="B6" s="4" t="s">
        <v>8</v>
      </c>
      <c r="C6" s="4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25">
      <c r="A7" s="2"/>
      <c r="B7" s="4" t="s">
        <v>10</v>
      </c>
      <c r="C7" s="4" t="s">
        <v>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25">
      <c r="A8" s="2"/>
      <c r="B8" s="4" t="s">
        <v>12</v>
      </c>
      <c r="C8" s="4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25">
      <c r="A9" s="2"/>
      <c r="B9" s="4" t="s">
        <v>14</v>
      </c>
      <c r="C9" s="4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25">
      <c r="A10" s="2"/>
      <c r="B10" s="4" t="s">
        <v>16</v>
      </c>
      <c r="C10" s="4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25">
      <c r="A11" s="2"/>
      <c r="B11" s="4" t="s">
        <v>18</v>
      </c>
      <c r="C11" s="4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25">
      <c r="A12" s="2"/>
      <c r="B12" s="4" t="s">
        <v>20</v>
      </c>
      <c r="C12" s="4" t="s">
        <v>21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25">
      <c r="A13" s="2"/>
      <c r="B13" s="4" t="s">
        <v>22</v>
      </c>
      <c r="C13" s="4" t="s">
        <v>23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25">
      <c r="A14" s="2"/>
      <c r="B14" s="4" t="s">
        <v>24</v>
      </c>
      <c r="C14" s="4" t="s">
        <v>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25">
      <c r="A15" s="2"/>
      <c r="B15" s="4" t="s">
        <v>26</v>
      </c>
      <c r="C15" s="4" t="s">
        <v>27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25">
      <c r="A16" s="2"/>
      <c r="B16" s="4" t="s">
        <v>28</v>
      </c>
      <c r="C16" s="4" t="s">
        <v>29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25">
      <c r="A17" s="2"/>
      <c r="B17" s="4" t="s">
        <v>30</v>
      </c>
      <c r="C17" s="4" t="s">
        <v>31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25">
      <c r="A18" s="2"/>
      <c r="B18" s="4" t="s">
        <v>32</v>
      </c>
      <c r="C18" s="4" t="s">
        <v>33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25">
      <c r="A19" s="2"/>
      <c r="B19" s="4" t="s">
        <v>34</v>
      </c>
      <c r="C19" s="4" t="s">
        <v>35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25">
      <c r="A20" s="2"/>
      <c r="B20" s="4" t="s">
        <v>36</v>
      </c>
      <c r="C20" s="4" t="s">
        <v>37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25">
      <c r="A21" s="2"/>
      <c r="B21" s="4" t="s">
        <v>38</v>
      </c>
      <c r="C21" s="4" t="s">
        <v>39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25">
      <c r="A22" s="2"/>
      <c r="B22" s="4" t="s">
        <v>40</v>
      </c>
      <c r="C22" s="4" t="s">
        <v>41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25">
      <c r="A23" s="2"/>
      <c r="B23" s="4" t="s">
        <v>42</v>
      </c>
      <c r="C23" s="4" t="s">
        <v>43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25">
      <c r="A24" s="2"/>
      <c r="B24" s="4" t="s">
        <v>44</v>
      </c>
      <c r="C24" s="4" t="s">
        <v>45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25">
      <c r="A25" s="2"/>
      <c r="B25" s="4" t="s">
        <v>46</v>
      </c>
      <c r="C25" s="4" t="s">
        <v>47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25">
      <c r="A26" s="2"/>
      <c r="B26" s="4" t="s">
        <v>48</v>
      </c>
      <c r="C26" s="4" t="s">
        <v>49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25">
      <c r="A27" s="2"/>
      <c r="B27" s="4" t="s">
        <v>50</v>
      </c>
      <c r="C27" s="4" t="s">
        <v>51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25">
      <c r="A28" s="2"/>
      <c r="B28" s="4" t="s">
        <v>52</v>
      </c>
      <c r="C28" s="4" t="s">
        <v>53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25">
      <c r="A29" s="2"/>
      <c r="B29" s="4" t="s">
        <v>54</v>
      </c>
      <c r="C29" s="4" t="s">
        <v>55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25">
      <c r="A30" s="2"/>
      <c r="B30" s="4" t="s">
        <v>56</v>
      </c>
      <c r="C30" s="4" t="s">
        <v>57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25">
      <c r="A31" s="2"/>
      <c r="B31" s="4" t="s">
        <v>58</v>
      </c>
      <c r="C31" s="4" t="s">
        <v>59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 x14ac:dyDescent="0.25">
      <c r="A32" s="2"/>
      <c r="B32" s="4" t="s">
        <v>60</v>
      </c>
      <c r="C32" s="4" t="s">
        <v>61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 x14ac:dyDescent="0.25">
      <c r="A33" s="2"/>
      <c r="B33" s="4" t="s">
        <v>62</v>
      </c>
      <c r="C33" s="4" t="s">
        <v>63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 x14ac:dyDescent="0.25">
      <c r="A34" s="2"/>
      <c r="B34" s="4" t="s">
        <v>64</v>
      </c>
      <c r="C34" s="4" t="s">
        <v>65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 x14ac:dyDescent="0.25">
      <c r="A35" s="2"/>
      <c r="B35" s="4" t="s">
        <v>66</v>
      </c>
      <c r="C35" s="4" t="s">
        <v>67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 x14ac:dyDescent="0.25">
      <c r="A36" s="2"/>
      <c r="B36" s="4" t="s">
        <v>68</v>
      </c>
      <c r="C36" s="4" t="s">
        <v>69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 x14ac:dyDescent="0.25">
      <c r="A37" s="2"/>
      <c r="B37" s="4" t="s">
        <v>70</v>
      </c>
      <c r="C37" s="4" t="s">
        <v>71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 x14ac:dyDescent="0.25">
      <c r="A38" s="2"/>
      <c r="B38" s="4" t="s">
        <v>72</v>
      </c>
      <c r="C38" s="4" t="s">
        <v>73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 x14ac:dyDescent="0.25">
      <c r="A39" s="2"/>
      <c r="B39" s="4" t="s">
        <v>74</v>
      </c>
      <c r="C39" s="4" t="s">
        <v>75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 x14ac:dyDescent="0.25">
      <c r="A40" s="2"/>
      <c r="B40" s="4" t="s">
        <v>76</v>
      </c>
      <c r="C40" s="4" t="s">
        <v>77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 x14ac:dyDescent="0.25">
      <c r="A41" s="2"/>
      <c r="B41" s="4" t="s">
        <v>78</v>
      </c>
      <c r="C41" s="4" t="s">
        <v>79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 x14ac:dyDescent="0.25">
      <c r="A42" s="2"/>
      <c r="B42" s="4" t="s">
        <v>80</v>
      </c>
      <c r="C42" s="4" t="s">
        <v>81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A43" s="2"/>
      <c r="B43" s="4" t="s">
        <v>82</v>
      </c>
      <c r="C43" s="4" t="s">
        <v>83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3.2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80000"/>
    <outlinePr summaryBelow="0" summaryRight="0"/>
  </sheetPr>
  <dimension ref="A1:AU1021"/>
  <sheetViews>
    <sheetView tabSelected="1" workbookViewId="0">
      <pane xSplit="2" ySplit="1" topLeftCell="AA57" activePane="bottomRight" state="frozen"/>
      <selection pane="topRight" activeCell="C1" sqref="C1"/>
      <selection pane="bottomLeft" activeCell="A2" sqref="A2"/>
      <selection pane="bottomRight" activeCell="E79" sqref="E79:AH79"/>
    </sheetView>
  </sheetViews>
  <sheetFormatPr defaultColWidth="12.6640625" defaultRowHeight="15.75" customHeight="1" x14ac:dyDescent="0.25"/>
  <cols>
    <col min="1" max="1" width="26.33203125" customWidth="1"/>
    <col min="2" max="2" width="51.6640625" customWidth="1"/>
    <col min="3" max="4" width="30.88671875" customWidth="1"/>
    <col min="5" max="6" width="14" customWidth="1"/>
    <col min="7" max="7" width="15.88671875" customWidth="1"/>
    <col min="8" max="8" width="14.88671875" customWidth="1"/>
    <col min="9" max="9" width="14" customWidth="1"/>
    <col min="10" max="10" width="12.6640625" customWidth="1"/>
    <col min="11" max="11" width="14" customWidth="1"/>
    <col min="12" max="12" width="17.33203125" customWidth="1"/>
    <col min="13" max="13" width="14" customWidth="1"/>
    <col min="14" max="14" width="12.6640625" customWidth="1"/>
    <col min="15" max="16" width="14" customWidth="1"/>
    <col min="17" max="17" width="14.88671875" customWidth="1"/>
    <col min="18" max="22" width="14" customWidth="1"/>
    <col min="23" max="23" width="14.88671875" customWidth="1"/>
    <col min="24" max="24" width="14" customWidth="1"/>
    <col min="25" max="25" width="12.6640625" customWidth="1"/>
    <col min="26" max="26" width="14.88671875" customWidth="1"/>
    <col min="27" max="27" width="15.77734375" customWidth="1"/>
    <col min="28" max="28" width="17.44140625" customWidth="1"/>
    <col min="29" max="30" width="14" customWidth="1"/>
    <col min="31" max="31" width="14.88671875" customWidth="1"/>
    <col min="32" max="34" width="14" customWidth="1"/>
  </cols>
  <sheetData>
    <row r="1" spans="1:47" ht="15.75" customHeight="1" x14ac:dyDescent="0.25">
      <c r="A1" s="5" t="s">
        <v>84</v>
      </c>
      <c r="B1" s="5" t="s">
        <v>0</v>
      </c>
      <c r="C1" s="6" t="s">
        <v>85</v>
      </c>
      <c r="D1" s="5" t="s">
        <v>1238</v>
      </c>
      <c r="E1" s="5" t="s">
        <v>86</v>
      </c>
      <c r="F1" s="7" t="s">
        <v>87</v>
      </c>
      <c r="G1" s="5" t="s">
        <v>88</v>
      </c>
      <c r="H1" s="5" t="s">
        <v>89</v>
      </c>
      <c r="I1" s="5" t="s">
        <v>90</v>
      </c>
      <c r="J1" s="5" t="s">
        <v>91</v>
      </c>
      <c r="K1" s="5" t="s">
        <v>1237</v>
      </c>
      <c r="L1" s="5" t="s">
        <v>93</v>
      </c>
      <c r="M1" s="5" t="s">
        <v>94</v>
      </c>
      <c r="N1" s="5" t="s">
        <v>95</v>
      </c>
      <c r="O1" s="5" t="s">
        <v>96</v>
      </c>
      <c r="P1" s="5" t="s">
        <v>97</v>
      </c>
      <c r="Q1" s="5" t="s">
        <v>98</v>
      </c>
      <c r="R1" s="5" t="s">
        <v>99</v>
      </c>
      <c r="S1" s="5" t="s">
        <v>100</v>
      </c>
      <c r="T1" s="5" t="s">
        <v>101</v>
      </c>
      <c r="U1" s="5" t="s">
        <v>102</v>
      </c>
      <c r="V1" s="5" t="s">
        <v>103</v>
      </c>
      <c r="W1" s="5" t="s">
        <v>104</v>
      </c>
      <c r="X1" s="5" t="s">
        <v>105</v>
      </c>
      <c r="Y1" s="5" t="s">
        <v>106</v>
      </c>
      <c r="Z1" s="5" t="s">
        <v>107</v>
      </c>
      <c r="AA1" s="5" t="s">
        <v>108</v>
      </c>
      <c r="AB1" s="5" t="s">
        <v>1236</v>
      </c>
      <c r="AC1" s="5" t="s">
        <v>110</v>
      </c>
      <c r="AD1" s="5" t="s">
        <v>111</v>
      </c>
      <c r="AE1" s="5" t="s">
        <v>112</v>
      </c>
      <c r="AF1" s="5" t="s">
        <v>113</v>
      </c>
      <c r="AG1" s="5" t="s">
        <v>114</v>
      </c>
      <c r="AH1" s="5" t="s">
        <v>115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spans="1:47" ht="15.75" customHeight="1" x14ac:dyDescent="0.25">
      <c r="A2" s="101" t="s">
        <v>116</v>
      </c>
      <c r="B2" s="8" t="s">
        <v>2</v>
      </c>
      <c r="C2" s="9" t="s">
        <v>117</v>
      </c>
      <c r="D2" s="99" t="s">
        <v>1242</v>
      </c>
      <c r="E2" s="10">
        <v>42.6</v>
      </c>
      <c r="F2" s="10">
        <v>76.599999999999994</v>
      </c>
      <c r="G2" s="10">
        <v>25.9</v>
      </c>
      <c r="H2" s="10">
        <v>74</v>
      </c>
      <c r="I2" s="10">
        <v>11</v>
      </c>
      <c r="J2" s="10">
        <v>95</v>
      </c>
      <c r="K2" s="10">
        <v>64</v>
      </c>
      <c r="L2" s="10">
        <v>21.5</v>
      </c>
      <c r="M2" s="10">
        <v>44</v>
      </c>
      <c r="N2" s="10">
        <v>73.7</v>
      </c>
      <c r="O2" s="10">
        <v>89</v>
      </c>
      <c r="P2" s="10">
        <v>53</v>
      </c>
      <c r="Q2" s="10">
        <v>75</v>
      </c>
      <c r="R2" s="10">
        <v>53</v>
      </c>
      <c r="S2" s="10">
        <v>32.700000000000003</v>
      </c>
      <c r="T2" s="10">
        <v>36</v>
      </c>
      <c r="U2" s="10">
        <v>25.9</v>
      </c>
      <c r="V2" s="10">
        <v>55</v>
      </c>
      <c r="W2" s="10">
        <v>60.1</v>
      </c>
      <c r="X2" s="10">
        <v>59.5</v>
      </c>
      <c r="Y2" s="10">
        <v>20.84</v>
      </c>
      <c r="Z2" s="10">
        <v>61</v>
      </c>
      <c r="AA2" s="10">
        <v>31.66</v>
      </c>
      <c r="AB2" s="10">
        <v>84</v>
      </c>
      <c r="AC2" s="10">
        <v>84</v>
      </c>
      <c r="AD2" s="10">
        <v>36</v>
      </c>
      <c r="AE2" s="10">
        <v>78.400000000000006</v>
      </c>
      <c r="AF2" s="10">
        <v>70</v>
      </c>
      <c r="AG2" s="10">
        <v>53.6</v>
      </c>
      <c r="AH2" s="10">
        <v>62</v>
      </c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ht="15.75" customHeight="1" x14ac:dyDescent="0.25">
      <c r="A3" s="102"/>
      <c r="B3" s="8" t="s">
        <v>4</v>
      </c>
      <c r="C3" s="9" t="s">
        <v>117</v>
      </c>
      <c r="D3" s="99" t="s">
        <v>1243</v>
      </c>
      <c r="E3" s="10">
        <v>71.2</v>
      </c>
      <c r="F3" s="10">
        <v>90</v>
      </c>
      <c r="G3" s="10">
        <v>66.3</v>
      </c>
      <c r="H3" s="10">
        <v>94</v>
      </c>
      <c r="I3" s="10">
        <v>20</v>
      </c>
      <c r="J3" s="10">
        <v>80</v>
      </c>
      <c r="K3" s="8"/>
      <c r="L3" s="10">
        <v>60.8</v>
      </c>
      <c r="M3" s="8"/>
      <c r="N3" s="10">
        <v>97</v>
      </c>
      <c r="O3" s="8"/>
      <c r="P3" s="10">
        <v>89</v>
      </c>
      <c r="Q3" s="8"/>
      <c r="R3" s="10">
        <v>71.3</v>
      </c>
      <c r="S3" s="10">
        <v>50</v>
      </c>
      <c r="T3" s="10">
        <v>72</v>
      </c>
      <c r="U3" s="10">
        <v>56.5</v>
      </c>
      <c r="V3" s="10">
        <v>91</v>
      </c>
      <c r="W3" s="8"/>
      <c r="X3" s="10">
        <v>77.099999999999994</v>
      </c>
      <c r="Y3" s="8"/>
      <c r="Z3" s="8"/>
      <c r="AA3" s="10">
        <v>38.67</v>
      </c>
      <c r="AB3" s="8"/>
      <c r="AC3" s="10">
        <v>97.1</v>
      </c>
      <c r="AD3" s="10"/>
      <c r="AE3" s="10">
        <v>99.6</v>
      </c>
      <c r="AF3" s="10"/>
      <c r="AG3" s="10">
        <v>80.3</v>
      </c>
      <c r="AH3" s="10">
        <v>83</v>
      </c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spans="1:47" ht="15.75" customHeight="1" x14ac:dyDescent="0.25">
      <c r="A4" s="102"/>
      <c r="B4" s="8" t="s">
        <v>6</v>
      </c>
      <c r="C4" s="9" t="s">
        <v>117</v>
      </c>
      <c r="D4" s="99" t="s">
        <v>1244</v>
      </c>
      <c r="E4" s="10">
        <v>13.1</v>
      </c>
      <c r="F4" s="8"/>
      <c r="G4" s="10">
        <v>17.600000000000001</v>
      </c>
      <c r="H4" s="10">
        <v>25</v>
      </c>
      <c r="I4" s="10">
        <v>1</v>
      </c>
      <c r="J4" s="10">
        <v>20</v>
      </c>
      <c r="K4" s="8"/>
      <c r="L4" s="10">
        <v>5</v>
      </c>
      <c r="M4" s="10">
        <v>57</v>
      </c>
      <c r="N4" s="10">
        <v>45</v>
      </c>
      <c r="O4" s="8"/>
      <c r="P4" s="10">
        <v>21</v>
      </c>
      <c r="Q4" s="8"/>
      <c r="R4" s="10">
        <v>11.4</v>
      </c>
      <c r="S4" s="10">
        <v>10</v>
      </c>
      <c r="T4" s="10">
        <v>11</v>
      </c>
      <c r="U4" s="10">
        <v>3.8</v>
      </c>
      <c r="V4" s="10">
        <v>6</v>
      </c>
      <c r="W4" s="8"/>
      <c r="X4" s="10">
        <v>13.8</v>
      </c>
      <c r="Y4" s="10">
        <v>5.3</v>
      </c>
      <c r="Z4" s="8"/>
      <c r="AA4" s="10">
        <v>1.01</v>
      </c>
      <c r="AB4" s="8"/>
      <c r="AC4" s="10">
        <v>64.5</v>
      </c>
      <c r="AD4" s="10"/>
      <c r="AE4" s="10">
        <v>69.599999999999994</v>
      </c>
      <c r="AF4" s="10"/>
      <c r="AG4" s="10">
        <v>34.9</v>
      </c>
      <c r="AH4" s="10">
        <v>27</v>
      </c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pans="1:47" ht="15.75" customHeight="1" x14ac:dyDescent="0.25">
      <c r="A5" s="102"/>
      <c r="B5" s="8" t="s">
        <v>8</v>
      </c>
      <c r="C5" s="9" t="s">
        <v>117</v>
      </c>
      <c r="D5" s="99" t="s">
        <v>1245</v>
      </c>
      <c r="E5" s="10">
        <v>70</v>
      </c>
      <c r="F5" s="10">
        <v>100</v>
      </c>
      <c r="G5" s="10">
        <v>70</v>
      </c>
      <c r="H5" s="10">
        <v>100</v>
      </c>
      <c r="I5" s="10">
        <v>90</v>
      </c>
      <c r="J5" s="10">
        <v>100</v>
      </c>
      <c r="K5" s="10">
        <v>100</v>
      </c>
      <c r="L5" s="10">
        <v>62</v>
      </c>
      <c r="M5" s="10">
        <v>75</v>
      </c>
      <c r="N5" s="10">
        <v>100</v>
      </c>
      <c r="O5" s="10">
        <v>99.8</v>
      </c>
      <c r="P5" s="10">
        <v>100</v>
      </c>
      <c r="Q5" s="10">
        <v>100</v>
      </c>
      <c r="R5" s="10">
        <v>100</v>
      </c>
      <c r="S5" s="10">
        <v>75</v>
      </c>
      <c r="T5" s="10">
        <v>80</v>
      </c>
      <c r="U5" s="10">
        <v>70</v>
      </c>
      <c r="V5" s="10">
        <v>100</v>
      </c>
      <c r="W5" s="10">
        <v>100</v>
      </c>
      <c r="X5" s="10">
        <v>70</v>
      </c>
      <c r="Y5" s="10">
        <v>60</v>
      </c>
      <c r="Z5" s="10">
        <v>100</v>
      </c>
      <c r="AA5" s="10">
        <v>81.3</v>
      </c>
      <c r="AB5" s="10">
        <v>100</v>
      </c>
      <c r="AC5" s="10">
        <v>100</v>
      </c>
      <c r="AD5" s="10">
        <v>78</v>
      </c>
      <c r="AE5" s="10">
        <v>100</v>
      </c>
      <c r="AF5" s="10">
        <v>100</v>
      </c>
      <c r="AG5" s="10">
        <v>100</v>
      </c>
      <c r="AH5" s="10">
        <v>100</v>
      </c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ht="15.75" customHeight="1" x14ac:dyDescent="0.25">
      <c r="A6" s="102"/>
      <c r="B6" s="8" t="s">
        <v>10</v>
      </c>
      <c r="C6" s="9" t="s">
        <v>117</v>
      </c>
      <c r="D6" s="99" t="s">
        <v>1246</v>
      </c>
      <c r="E6" s="100"/>
      <c r="F6" s="8"/>
      <c r="G6" s="10"/>
      <c r="H6" s="8"/>
      <c r="I6" s="10">
        <v>50</v>
      </c>
      <c r="J6" s="10"/>
      <c r="K6" s="8"/>
      <c r="L6" s="8"/>
      <c r="M6" s="8"/>
      <c r="N6" s="8"/>
      <c r="O6" s="10"/>
      <c r="P6" s="8"/>
      <c r="Q6" s="8"/>
      <c r="R6" s="8"/>
      <c r="S6" s="8"/>
      <c r="T6" s="10"/>
      <c r="U6" s="10">
        <v>59.5</v>
      </c>
      <c r="V6" s="10">
        <v>98</v>
      </c>
      <c r="W6" s="8"/>
      <c r="X6" s="8"/>
      <c r="Y6" s="8"/>
      <c r="Z6" s="10"/>
      <c r="AA6" s="10">
        <v>90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ht="15.75" customHeight="1" x14ac:dyDescent="0.25">
      <c r="A7" s="102"/>
      <c r="B7" s="8" t="s">
        <v>12</v>
      </c>
      <c r="C7" s="9" t="s">
        <v>117</v>
      </c>
      <c r="D7" s="99" t="s">
        <v>1247</v>
      </c>
      <c r="E7" s="8"/>
      <c r="F7" s="8"/>
      <c r="G7" s="10"/>
      <c r="H7" s="8"/>
      <c r="I7" s="10">
        <v>40</v>
      </c>
      <c r="J7" s="10"/>
      <c r="K7" s="8"/>
      <c r="L7" s="8"/>
      <c r="M7" s="8"/>
      <c r="N7" s="8"/>
      <c r="O7" s="10"/>
      <c r="P7" s="8"/>
      <c r="Q7" s="8"/>
      <c r="R7" s="8"/>
      <c r="S7" s="8"/>
      <c r="T7" s="10"/>
      <c r="U7" s="10">
        <v>24.1</v>
      </c>
      <c r="V7" s="10">
        <v>80</v>
      </c>
      <c r="W7" s="8"/>
      <c r="X7" s="8"/>
      <c r="Y7" s="8"/>
      <c r="Z7" s="10"/>
      <c r="AA7" s="10">
        <v>50</v>
      </c>
      <c r="AB7" s="8"/>
      <c r="AC7" s="8"/>
      <c r="AD7" s="8"/>
      <c r="AE7" s="8"/>
      <c r="AF7" s="8"/>
      <c r="AG7" s="10">
        <v>51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ht="15.75" customHeight="1" x14ac:dyDescent="0.25">
      <c r="A8" s="102"/>
      <c r="B8" s="8" t="s">
        <v>14</v>
      </c>
      <c r="C8" s="9" t="s">
        <v>117</v>
      </c>
      <c r="D8" s="99" t="s">
        <v>1248</v>
      </c>
      <c r="E8" s="8"/>
      <c r="F8" s="8"/>
      <c r="G8" s="11">
        <v>11600000</v>
      </c>
      <c r="H8" s="11">
        <v>33000000</v>
      </c>
      <c r="I8" s="11">
        <v>14000000</v>
      </c>
      <c r="J8" s="11">
        <v>226615</v>
      </c>
      <c r="K8" s="8"/>
      <c r="L8" s="11">
        <v>60000000</v>
      </c>
      <c r="M8" s="8"/>
      <c r="N8" s="11">
        <v>633000</v>
      </c>
      <c r="O8" s="11">
        <v>3700000</v>
      </c>
      <c r="P8" s="11">
        <v>7750000</v>
      </c>
      <c r="Q8" s="8"/>
      <c r="R8" s="8"/>
      <c r="S8" s="8"/>
      <c r="T8" s="11">
        <v>19000000</v>
      </c>
      <c r="U8" s="8"/>
      <c r="V8" s="11">
        <v>3400000</v>
      </c>
      <c r="W8" s="8"/>
      <c r="X8" s="8"/>
      <c r="Y8" s="8"/>
      <c r="Z8" s="11">
        <v>86000000</v>
      </c>
      <c r="AA8" s="10"/>
      <c r="AB8" s="8"/>
      <c r="AC8" s="11">
        <v>2800000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ht="15.75" customHeight="1" x14ac:dyDescent="0.25">
      <c r="A9" s="101" t="s">
        <v>118</v>
      </c>
      <c r="B9" s="8" t="s">
        <v>16</v>
      </c>
      <c r="C9" s="9" t="s">
        <v>117</v>
      </c>
      <c r="D9" s="99" t="s">
        <v>1249</v>
      </c>
      <c r="E9" s="10">
        <v>199.8</v>
      </c>
      <c r="F9" s="10">
        <v>892</v>
      </c>
      <c r="G9" s="10">
        <v>204.88</v>
      </c>
      <c r="H9" s="11">
        <v>3000</v>
      </c>
      <c r="I9" s="10">
        <v>487</v>
      </c>
      <c r="J9" s="10">
        <v>53</v>
      </c>
      <c r="K9" s="11">
        <v>2907</v>
      </c>
      <c r="L9" s="11">
        <v>3067</v>
      </c>
      <c r="M9" s="11">
        <v>9761</v>
      </c>
      <c r="N9" s="10">
        <v>99</v>
      </c>
      <c r="O9" s="11">
        <v>5641</v>
      </c>
      <c r="P9" s="11">
        <v>1310</v>
      </c>
      <c r="Q9" s="11">
        <v>2627</v>
      </c>
      <c r="R9" s="10">
        <v>104.7</v>
      </c>
      <c r="S9" s="10">
        <v>126</v>
      </c>
      <c r="T9" s="10">
        <v>828</v>
      </c>
      <c r="U9" s="10">
        <v>550</v>
      </c>
      <c r="V9" s="10">
        <v>615.1</v>
      </c>
      <c r="W9" s="11">
        <v>2922</v>
      </c>
      <c r="X9" s="10">
        <v>695</v>
      </c>
      <c r="Y9" s="10">
        <v>352</v>
      </c>
      <c r="Z9" s="11">
        <v>12000</v>
      </c>
      <c r="AA9" s="10">
        <v>748</v>
      </c>
      <c r="AB9" s="10">
        <v>38</v>
      </c>
      <c r="AC9" s="10"/>
      <c r="AD9" s="10">
        <v>271</v>
      </c>
      <c r="AE9" s="11">
        <v>3404.2</v>
      </c>
      <c r="AF9" s="10">
        <v>267.5</v>
      </c>
      <c r="AG9" s="11">
        <v>3811.3</v>
      </c>
      <c r="AH9" s="11">
        <v>2962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spans="1:47" ht="15.75" customHeight="1" x14ac:dyDescent="0.25">
      <c r="A10" s="102"/>
      <c r="B10" s="8" t="s">
        <v>18</v>
      </c>
      <c r="C10" s="9" t="s">
        <v>117</v>
      </c>
      <c r="D10" s="99" t="s">
        <v>1250</v>
      </c>
      <c r="E10" s="10">
        <v>794</v>
      </c>
      <c r="F10" s="10">
        <v>950</v>
      </c>
      <c r="G10" s="10">
        <v>410</v>
      </c>
      <c r="H10" s="11">
        <v>3000</v>
      </c>
      <c r="I10" s="10">
        <v>866</v>
      </c>
      <c r="J10" s="8"/>
      <c r="K10" s="11">
        <v>5128</v>
      </c>
      <c r="L10" s="11">
        <v>13576</v>
      </c>
      <c r="M10" s="11">
        <v>14000</v>
      </c>
      <c r="N10" s="8"/>
      <c r="O10" s="11">
        <v>6200</v>
      </c>
      <c r="P10" s="11">
        <v>3827</v>
      </c>
      <c r="Q10" s="11">
        <v>5952</v>
      </c>
      <c r="R10" s="8"/>
      <c r="S10" s="10"/>
      <c r="T10" s="8"/>
      <c r="U10" s="11">
        <v>1490</v>
      </c>
      <c r="V10" s="8"/>
      <c r="W10" s="10"/>
      <c r="X10" s="11">
        <v>1149</v>
      </c>
      <c r="Y10" s="8"/>
      <c r="Z10" s="8"/>
      <c r="AA10" s="11">
        <v>3701</v>
      </c>
      <c r="AB10" s="8"/>
      <c r="AC10" s="10"/>
      <c r="AD10" s="10">
        <v>1120</v>
      </c>
      <c r="AE10" s="10"/>
      <c r="AF10" s="10">
        <v>1154.5</v>
      </c>
      <c r="AG10" s="11">
        <v>10000</v>
      </c>
      <c r="AH10" s="11">
        <v>5432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1:47" ht="15.75" customHeight="1" x14ac:dyDescent="0.25">
      <c r="A11" s="102"/>
      <c r="B11" s="8" t="s">
        <v>20</v>
      </c>
      <c r="C11" s="9" t="s">
        <v>117</v>
      </c>
      <c r="D11" s="99" t="s">
        <v>1251</v>
      </c>
      <c r="E11" s="8"/>
      <c r="F11" s="8"/>
      <c r="G11" s="8"/>
      <c r="H11" s="8"/>
      <c r="I11" s="10">
        <v>866</v>
      </c>
      <c r="J11" s="8"/>
      <c r="K11" s="11">
        <v>1374</v>
      </c>
      <c r="L11" s="8"/>
      <c r="M11" s="8"/>
      <c r="N11" s="8"/>
      <c r="O11" s="8"/>
      <c r="P11" s="11">
        <v>2517</v>
      </c>
      <c r="Q11" s="11">
        <v>3325</v>
      </c>
      <c r="R11" s="8"/>
      <c r="S11" s="8"/>
      <c r="T11" s="8"/>
      <c r="U11" s="10">
        <v>848</v>
      </c>
      <c r="V11" s="8"/>
      <c r="W11" s="11">
        <v>3100</v>
      </c>
      <c r="X11" s="10">
        <v>454</v>
      </c>
      <c r="Y11" s="8"/>
      <c r="Z11" s="8"/>
      <c r="AA11" s="11">
        <v>2953</v>
      </c>
      <c r="AB11" s="10">
        <v>60</v>
      </c>
      <c r="AC11" s="10"/>
      <c r="AD11" s="10"/>
      <c r="AE11" s="11">
        <v>1973</v>
      </c>
      <c r="AF11" s="10">
        <v>894</v>
      </c>
      <c r="AG11" s="11">
        <v>6200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ht="15.75" customHeight="1" x14ac:dyDescent="0.25">
      <c r="A12" s="102"/>
      <c r="B12" s="8" t="s">
        <v>22</v>
      </c>
      <c r="C12" s="9" t="s">
        <v>117</v>
      </c>
      <c r="D12" s="99" t="s">
        <v>1252</v>
      </c>
      <c r="E12" s="10">
        <v>62.3</v>
      </c>
      <c r="F12" s="10">
        <v>74.599999999999994</v>
      </c>
      <c r="G12" s="8"/>
      <c r="H12" s="10">
        <v>36.53</v>
      </c>
      <c r="I12" s="8"/>
      <c r="J12" s="10">
        <v>13.71</v>
      </c>
      <c r="K12" s="10">
        <v>909</v>
      </c>
      <c r="L12" s="8"/>
      <c r="M12" s="8"/>
      <c r="N12" s="10">
        <v>23</v>
      </c>
      <c r="O12" s="10">
        <v>60.8</v>
      </c>
      <c r="P12" s="10">
        <v>817</v>
      </c>
      <c r="Q12" s="10"/>
      <c r="R12" s="10">
        <v>104.3</v>
      </c>
      <c r="S12" s="10">
        <v>88</v>
      </c>
      <c r="T12" s="10">
        <v>240</v>
      </c>
      <c r="U12" s="10">
        <v>499</v>
      </c>
      <c r="V12" s="8"/>
      <c r="W12" s="11">
        <v>2291</v>
      </c>
      <c r="X12" s="10">
        <v>498.5</v>
      </c>
      <c r="Y12" s="10"/>
      <c r="Z12" s="8"/>
      <c r="AA12" s="10">
        <v>214</v>
      </c>
      <c r="AB12" s="8"/>
      <c r="AC12" s="10">
        <v>460</v>
      </c>
      <c r="AD12" s="10"/>
      <c r="AE12" s="11">
        <v>2011.27</v>
      </c>
      <c r="AF12" s="10">
        <v>102.5</v>
      </c>
      <c r="AG12" s="11">
        <v>3336</v>
      </c>
      <c r="AH12" s="11">
        <v>1282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spans="1:47" ht="15.75" customHeight="1" x14ac:dyDescent="0.25">
      <c r="A13" s="102"/>
      <c r="B13" s="8" t="s">
        <v>24</v>
      </c>
      <c r="C13" s="9" t="s">
        <v>117</v>
      </c>
      <c r="D13" s="99" t="s">
        <v>1253</v>
      </c>
      <c r="E13" s="10">
        <v>417</v>
      </c>
      <c r="F13" s="10">
        <v>475</v>
      </c>
      <c r="G13" s="8"/>
      <c r="H13" s="8"/>
      <c r="I13" s="10">
        <v>520</v>
      </c>
      <c r="J13" s="10"/>
      <c r="K13" s="11">
        <v>2283</v>
      </c>
      <c r="L13" s="8"/>
      <c r="M13" s="8"/>
      <c r="N13" s="8"/>
      <c r="O13" s="8"/>
      <c r="P13" s="11">
        <v>2689</v>
      </c>
      <c r="Q13" s="10"/>
      <c r="R13" s="8"/>
      <c r="S13" s="10">
        <v>238</v>
      </c>
      <c r="T13" s="10">
        <v>893</v>
      </c>
      <c r="U13" s="10"/>
      <c r="V13" s="8"/>
      <c r="W13" s="11">
        <v>4892</v>
      </c>
      <c r="X13" s="10">
        <v>952.5</v>
      </c>
      <c r="Y13" s="8"/>
      <c r="Z13" s="8"/>
      <c r="AA13" s="11">
        <v>2697</v>
      </c>
      <c r="AB13" s="8"/>
      <c r="AC13" s="10"/>
      <c r="AD13" s="10"/>
      <c r="AE13" s="10"/>
      <c r="AF13" s="10">
        <v>728.5</v>
      </c>
      <c r="AG13" s="11">
        <v>9000</v>
      </c>
      <c r="AH13" s="11">
        <v>2640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spans="1:47" ht="15.75" customHeight="1" x14ac:dyDescent="0.25">
      <c r="A14" s="102"/>
      <c r="B14" s="8" t="s">
        <v>26</v>
      </c>
      <c r="C14" s="9" t="s">
        <v>117</v>
      </c>
      <c r="D14" s="99" t="s">
        <v>1254</v>
      </c>
      <c r="E14" s="10"/>
      <c r="F14" s="11">
        <v>1500</v>
      </c>
      <c r="G14" s="10">
        <v>254</v>
      </c>
      <c r="H14" s="10">
        <v>150</v>
      </c>
      <c r="I14" s="10">
        <v>520</v>
      </c>
      <c r="J14" s="8"/>
      <c r="K14" s="10">
        <v>399</v>
      </c>
      <c r="L14" s="11">
        <v>4000</v>
      </c>
      <c r="M14" s="11">
        <v>1175</v>
      </c>
      <c r="N14" s="10">
        <v>150</v>
      </c>
      <c r="O14" s="10">
        <v>850</v>
      </c>
      <c r="P14" s="11">
        <v>1086</v>
      </c>
      <c r="Q14" s="10">
        <v>807</v>
      </c>
      <c r="R14" s="10">
        <v>164</v>
      </c>
      <c r="S14" s="10">
        <v>172</v>
      </c>
      <c r="T14" s="10">
        <v>560</v>
      </c>
      <c r="U14" s="10"/>
      <c r="V14" s="10">
        <v>50</v>
      </c>
      <c r="W14" s="10">
        <v>303</v>
      </c>
      <c r="X14" s="10">
        <v>466.5</v>
      </c>
      <c r="Y14" s="10"/>
      <c r="Z14" s="8"/>
      <c r="AA14" s="10"/>
      <c r="AB14" s="12"/>
      <c r="AC14" s="10"/>
      <c r="AD14" s="10">
        <v>392</v>
      </c>
      <c r="AE14" s="10">
        <v>463</v>
      </c>
      <c r="AF14" s="10">
        <v>569</v>
      </c>
      <c r="AG14" s="11">
        <v>3000</v>
      </c>
      <c r="AH14" s="11">
        <v>1500</v>
      </c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 ht="15.75" customHeight="1" x14ac:dyDescent="0.25">
      <c r="A15" s="102"/>
      <c r="B15" s="8" t="s">
        <v>28</v>
      </c>
      <c r="C15" s="9" t="s">
        <v>117</v>
      </c>
      <c r="D15" s="99" t="s">
        <v>1255</v>
      </c>
      <c r="E15" s="8"/>
      <c r="F15" s="10">
        <v>100</v>
      </c>
      <c r="G15" s="8"/>
      <c r="H15" s="8"/>
      <c r="I15" s="8"/>
      <c r="J15" s="8"/>
      <c r="K15" s="8"/>
      <c r="L15" s="8"/>
      <c r="M15" s="11">
        <v>1102</v>
      </c>
      <c r="N15" s="8"/>
      <c r="O15" s="10">
        <v>200</v>
      </c>
      <c r="P15" s="8"/>
      <c r="Q15" s="10">
        <v>966</v>
      </c>
      <c r="R15" s="10">
        <v>60</v>
      </c>
      <c r="S15" s="8"/>
      <c r="T15" s="10">
        <v>16</v>
      </c>
      <c r="U15" s="10"/>
      <c r="V15" s="10">
        <v>30</v>
      </c>
      <c r="W15" s="10">
        <v>245</v>
      </c>
      <c r="X15" s="10">
        <v>99</v>
      </c>
      <c r="Y15" s="10">
        <v>250</v>
      </c>
      <c r="Z15" s="8"/>
      <c r="AA15" s="8"/>
      <c r="AB15" s="8"/>
      <c r="AC15" s="10"/>
      <c r="AD15" s="8"/>
      <c r="AE15" s="10">
        <v>500</v>
      </c>
      <c r="AF15" s="8"/>
      <c r="AG15" s="11">
        <v>1192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ht="15.75" customHeight="1" x14ac:dyDescent="0.25">
      <c r="A16" s="102"/>
      <c r="B16" s="8" t="s">
        <v>30</v>
      </c>
      <c r="C16" s="9" t="s">
        <v>117</v>
      </c>
      <c r="D16" s="99" t="s">
        <v>1256</v>
      </c>
      <c r="E16" s="8"/>
      <c r="F16" s="8"/>
      <c r="G16" s="10">
        <v>155.5</v>
      </c>
      <c r="H16" s="10">
        <v>600</v>
      </c>
      <c r="I16" s="10">
        <v>120</v>
      </c>
      <c r="J16" s="10">
        <v>1.95</v>
      </c>
      <c r="K16" s="10">
        <v>829</v>
      </c>
      <c r="L16" s="8"/>
      <c r="M16" s="11">
        <v>1800</v>
      </c>
      <c r="N16" s="8"/>
      <c r="O16" s="10">
        <v>150</v>
      </c>
      <c r="P16" s="10">
        <v>791</v>
      </c>
      <c r="Q16" s="11">
        <v>1403</v>
      </c>
      <c r="R16" s="10">
        <v>1.1000000000000001</v>
      </c>
      <c r="S16" s="10">
        <v>150</v>
      </c>
      <c r="T16" s="10">
        <v>374</v>
      </c>
      <c r="U16" s="10"/>
      <c r="V16" s="8"/>
      <c r="W16" s="11">
        <v>4344</v>
      </c>
      <c r="X16" s="10">
        <v>347</v>
      </c>
      <c r="Y16" s="10">
        <v>128</v>
      </c>
      <c r="Z16" s="8"/>
      <c r="AA16" s="10"/>
      <c r="AB16" s="10">
        <v>9</v>
      </c>
      <c r="AC16" s="8"/>
      <c r="AD16" s="10">
        <v>194</v>
      </c>
      <c r="AE16" s="10">
        <v>880</v>
      </c>
      <c r="AF16" s="10">
        <v>57</v>
      </c>
      <c r="AG16" s="8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ht="15.75" customHeight="1" x14ac:dyDescent="0.25">
      <c r="A17" s="102"/>
      <c r="B17" s="8" t="s">
        <v>32</v>
      </c>
      <c r="C17" s="9" t="s">
        <v>117</v>
      </c>
      <c r="D17" s="99" t="s">
        <v>1257</v>
      </c>
      <c r="E17" s="10"/>
      <c r="F17" s="8"/>
      <c r="G17" s="8"/>
      <c r="H17" s="8"/>
      <c r="I17" s="8"/>
      <c r="J17" s="8"/>
      <c r="K17" s="8"/>
      <c r="L17" s="8"/>
      <c r="M17" s="8"/>
      <c r="N17" s="10">
        <v>80</v>
      </c>
      <c r="O17" s="8"/>
      <c r="P17" s="8"/>
      <c r="Q17" s="8"/>
      <c r="R17" s="8"/>
      <c r="S17" s="8"/>
      <c r="T17" s="8"/>
      <c r="U17" s="8"/>
      <c r="V17" s="10">
        <v>225</v>
      </c>
      <c r="W17" s="11">
        <v>1004</v>
      </c>
      <c r="X17" s="8"/>
      <c r="Y17" s="10">
        <v>240</v>
      </c>
      <c r="Z17" s="8"/>
      <c r="AA17" s="10">
        <v>470</v>
      </c>
      <c r="AB17" s="10">
        <v>10</v>
      </c>
      <c r="AC17" s="10">
        <v>2200</v>
      </c>
      <c r="AD17" s="8"/>
      <c r="AE17" s="10"/>
      <c r="AF17" s="10">
        <v>250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ht="15.75" customHeight="1" x14ac:dyDescent="0.25">
      <c r="A18" s="102"/>
      <c r="B18" s="8" t="s">
        <v>34</v>
      </c>
      <c r="C18" s="9" t="s">
        <v>117</v>
      </c>
      <c r="D18" s="99" t="s">
        <v>1258</v>
      </c>
      <c r="E18" s="8"/>
      <c r="F18" s="8">
        <v>140</v>
      </c>
      <c r="G18" s="8"/>
      <c r="H18" s="8"/>
      <c r="I18" s="10">
        <v>60</v>
      </c>
      <c r="J18" s="10">
        <v>19.600000000000001</v>
      </c>
      <c r="K18" s="8"/>
      <c r="L18" s="8"/>
      <c r="M18" s="8"/>
      <c r="N18" s="10">
        <v>40</v>
      </c>
      <c r="O18" s="8"/>
      <c r="P18" s="8"/>
      <c r="Q18" s="10">
        <v>400</v>
      </c>
      <c r="R18" s="10">
        <v>600</v>
      </c>
      <c r="S18" s="10">
        <v>5</v>
      </c>
      <c r="T18" s="8"/>
      <c r="U18" s="8"/>
      <c r="V18" s="10">
        <v>30</v>
      </c>
      <c r="W18" s="8"/>
      <c r="X18" s="10">
        <v>96</v>
      </c>
      <c r="Y18" s="10">
        <v>20</v>
      </c>
      <c r="Z18" s="8"/>
      <c r="AA18" s="8"/>
      <c r="AB18" s="8"/>
      <c r="AC18" s="8"/>
      <c r="AD18" s="8"/>
      <c r="AE18" s="8"/>
      <c r="AF18" s="10">
        <v>156</v>
      </c>
      <c r="AG18" s="8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ht="15.75" customHeight="1" x14ac:dyDescent="0.25">
      <c r="A19" s="101" t="s">
        <v>119</v>
      </c>
      <c r="B19" s="8" t="s">
        <v>36</v>
      </c>
      <c r="C19" s="9" t="s">
        <v>117</v>
      </c>
      <c r="D19" s="99" t="s">
        <v>1259</v>
      </c>
      <c r="E19" s="8"/>
      <c r="F19" s="10">
        <v>678</v>
      </c>
      <c r="G19" s="8"/>
      <c r="H19" s="8"/>
      <c r="I19" s="8"/>
      <c r="J19" s="10">
        <v>26.2</v>
      </c>
      <c r="K19" s="8"/>
      <c r="L19" s="8"/>
      <c r="M19" s="8"/>
      <c r="N19" s="8"/>
      <c r="O19" s="8"/>
      <c r="P19" s="8"/>
      <c r="Q19" s="8"/>
      <c r="R19" s="10">
        <v>209</v>
      </c>
      <c r="S19" s="10">
        <v>108</v>
      </c>
      <c r="T19" s="8"/>
      <c r="U19" s="8"/>
      <c r="V19" s="8"/>
      <c r="W19" s="8"/>
      <c r="X19" s="10">
        <v>673</v>
      </c>
      <c r="Y19" s="8"/>
      <c r="Z19" s="8"/>
      <c r="AA19" s="8"/>
      <c r="AB19" s="8"/>
      <c r="AC19" s="10"/>
      <c r="AD19" s="10">
        <v>320</v>
      </c>
      <c r="AE19" s="11">
        <v>1888.72</v>
      </c>
      <c r="AF19" s="10"/>
      <c r="AG19" s="11">
        <v>2500</v>
      </c>
      <c r="AH19" s="11">
        <v>2000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15.75" customHeight="1" x14ac:dyDescent="0.25">
      <c r="A20" s="102"/>
      <c r="B20" s="8" t="s">
        <v>38</v>
      </c>
      <c r="C20" s="9" t="s">
        <v>117</v>
      </c>
      <c r="D20" s="99" t="s">
        <v>1260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1">
        <v>3894</v>
      </c>
      <c r="Q20" s="8"/>
      <c r="R20" s="8"/>
      <c r="S20" s="8"/>
      <c r="T20" s="8"/>
      <c r="U20" s="10">
        <v>774</v>
      </c>
      <c r="V20" s="8"/>
      <c r="W20" s="8"/>
      <c r="X20" s="8"/>
      <c r="Y20" s="8"/>
      <c r="Z20" s="8"/>
      <c r="AA20" s="8"/>
      <c r="AB20" s="8"/>
      <c r="AC20" s="10"/>
      <c r="AD20" s="10">
        <v>485</v>
      </c>
      <c r="AE20" s="10"/>
      <c r="AF20" s="10"/>
      <c r="AG20" s="8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 ht="15.75" customHeight="1" x14ac:dyDescent="0.25">
      <c r="A21" s="101" t="s">
        <v>120</v>
      </c>
      <c r="B21" s="8" t="s">
        <v>40</v>
      </c>
      <c r="C21" s="9" t="s">
        <v>117</v>
      </c>
      <c r="D21" s="99" t="s">
        <v>1261</v>
      </c>
      <c r="E21" s="11">
        <v>1449.1</v>
      </c>
      <c r="F21" s="11">
        <v>4000</v>
      </c>
      <c r="G21" s="10">
        <v>650</v>
      </c>
      <c r="H21" s="10"/>
      <c r="I21" s="10">
        <v>996</v>
      </c>
      <c r="J21" s="10"/>
      <c r="K21" s="11">
        <v>7553</v>
      </c>
      <c r="L21" s="8"/>
      <c r="M21" s="11">
        <v>20390</v>
      </c>
      <c r="N21" s="10">
        <v>18</v>
      </c>
      <c r="O21" s="11">
        <v>6472.2</v>
      </c>
      <c r="P21" s="11">
        <v>1600</v>
      </c>
      <c r="Q21" s="11">
        <v>9484</v>
      </c>
      <c r="R21" s="8"/>
      <c r="S21" s="11">
        <v>1398</v>
      </c>
      <c r="T21" s="8"/>
      <c r="U21" s="11">
        <v>2650</v>
      </c>
      <c r="V21" s="11">
        <v>1950</v>
      </c>
      <c r="W21" s="11">
        <v>5679</v>
      </c>
      <c r="X21" s="8"/>
      <c r="Y21" s="11">
        <v>1428.8</v>
      </c>
      <c r="Z21" s="11">
        <v>12330</v>
      </c>
      <c r="AA21" s="11">
        <v>1756</v>
      </c>
      <c r="AB21" s="10">
        <v>275</v>
      </c>
      <c r="AC21" s="8"/>
      <c r="AD21" s="10">
        <v>802</v>
      </c>
      <c r="AE21" s="11">
        <v>8025.75</v>
      </c>
      <c r="AF21" s="10">
        <v>1273</v>
      </c>
      <c r="AG21" s="11">
        <v>12705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ht="15.75" customHeight="1" x14ac:dyDescent="0.25">
      <c r="A22" s="102"/>
      <c r="B22" s="8" t="s">
        <v>42</v>
      </c>
      <c r="C22" s="9" t="s">
        <v>117</v>
      </c>
      <c r="D22" s="99" t="s">
        <v>1262</v>
      </c>
      <c r="E22" s="8"/>
      <c r="F22" s="8"/>
      <c r="G22" s="10">
        <v>704</v>
      </c>
      <c r="H22" s="8"/>
      <c r="I22" s="10">
        <v>400.2</v>
      </c>
      <c r="J22" s="8"/>
      <c r="K22" s="11">
        <v>10212</v>
      </c>
      <c r="L22" s="8"/>
      <c r="M22" s="10"/>
      <c r="N22" s="10">
        <v>200</v>
      </c>
      <c r="O22" s="8"/>
      <c r="P22" s="10">
        <v>352</v>
      </c>
      <c r="Q22" s="11">
        <v>8000</v>
      </c>
      <c r="R22" s="8"/>
      <c r="S22" s="8"/>
      <c r="T22" s="8"/>
      <c r="U22" s="11">
        <v>1940</v>
      </c>
      <c r="V22" s="11">
        <v>2550</v>
      </c>
      <c r="W22" s="11">
        <v>2000</v>
      </c>
      <c r="X22" s="8"/>
      <c r="Y22" s="10"/>
      <c r="Z22" s="8"/>
      <c r="AA22" s="10"/>
      <c r="AB22" s="8"/>
      <c r="AC22" s="10"/>
      <c r="AD22" s="10">
        <v>1235</v>
      </c>
      <c r="AE22" s="10"/>
      <c r="AF22" s="10">
        <v>1447</v>
      </c>
      <c r="AG22" s="11">
        <v>17913</v>
      </c>
      <c r="AH22" s="11">
        <v>1607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spans="1:47" ht="15.75" customHeight="1" x14ac:dyDescent="0.25">
      <c r="A23" s="102"/>
      <c r="B23" s="8" t="s">
        <v>44</v>
      </c>
      <c r="C23" s="9" t="s">
        <v>117</v>
      </c>
      <c r="D23" s="99" t="s">
        <v>1263</v>
      </c>
      <c r="E23" s="8"/>
      <c r="F23" s="8"/>
      <c r="G23" s="11">
        <v>6578</v>
      </c>
      <c r="H23" s="8"/>
      <c r="I23" s="10">
        <v>195</v>
      </c>
      <c r="J23" s="10"/>
      <c r="K23" s="11">
        <v>93848</v>
      </c>
      <c r="L23" s="8"/>
      <c r="M23" s="10"/>
      <c r="N23" s="8"/>
      <c r="O23" s="8"/>
      <c r="P23" s="8"/>
      <c r="Q23" s="11">
        <v>212937</v>
      </c>
      <c r="R23" s="10">
        <v>550</v>
      </c>
      <c r="S23" s="8"/>
      <c r="T23" s="8"/>
      <c r="U23" s="11">
        <v>22417</v>
      </c>
      <c r="V23" s="11">
        <v>4550</v>
      </c>
      <c r="W23" s="8"/>
      <c r="X23" s="8"/>
      <c r="Y23" s="10"/>
      <c r="Z23" s="8"/>
      <c r="AA23" s="10"/>
      <c r="AB23" s="8"/>
      <c r="AC23" s="10">
        <v>39000</v>
      </c>
      <c r="AD23" s="10"/>
      <c r="AE23" s="10"/>
      <c r="AF23" s="10">
        <v>3761</v>
      </c>
      <c r="AG23" s="8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1:47" ht="15.75" customHeight="1" x14ac:dyDescent="0.25">
      <c r="A24" s="102"/>
      <c r="B24" s="8" t="s">
        <v>46</v>
      </c>
      <c r="C24" s="9" t="s">
        <v>117</v>
      </c>
      <c r="D24" s="99" t="s">
        <v>1264</v>
      </c>
      <c r="E24" s="10">
        <v>24.62</v>
      </c>
      <c r="F24" s="10">
        <v>14.35</v>
      </c>
      <c r="G24" s="8"/>
      <c r="H24" s="10"/>
      <c r="I24" s="10">
        <v>39</v>
      </c>
      <c r="J24" s="10">
        <v>37</v>
      </c>
      <c r="K24" s="8"/>
      <c r="L24" s="10">
        <v>46</v>
      </c>
      <c r="M24" s="10">
        <v>27</v>
      </c>
      <c r="N24" s="10">
        <v>21</v>
      </c>
      <c r="O24" s="10">
        <v>27</v>
      </c>
      <c r="P24" s="10">
        <v>30</v>
      </c>
      <c r="Q24" s="10">
        <v>15.69</v>
      </c>
      <c r="R24" s="8"/>
      <c r="S24" s="10">
        <v>45.4</v>
      </c>
      <c r="T24" s="10">
        <v>30</v>
      </c>
      <c r="U24" s="10"/>
      <c r="V24" s="10">
        <v>30</v>
      </c>
      <c r="W24" s="10">
        <v>24</v>
      </c>
      <c r="X24" s="8"/>
      <c r="Y24" s="10"/>
      <c r="Z24" s="10">
        <v>42</v>
      </c>
      <c r="AA24" s="10">
        <v>45</v>
      </c>
      <c r="AB24" s="10">
        <v>34</v>
      </c>
      <c r="AC24" s="10"/>
      <c r="AD24" s="10">
        <v>50</v>
      </c>
      <c r="AE24" s="10">
        <v>14.2</v>
      </c>
      <c r="AF24" s="10">
        <v>16</v>
      </c>
      <c r="AG24" s="8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spans="1:47" ht="15.75" customHeight="1" x14ac:dyDescent="0.25">
      <c r="A25" s="102"/>
      <c r="B25" s="13" t="s">
        <v>121</v>
      </c>
      <c r="C25" s="14" t="s">
        <v>122</v>
      </c>
      <c r="D25" s="99" t="s">
        <v>1266</v>
      </c>
      <c r="E25" s="15">
        <v>24</v>
      </c>
      <c r="F25" s="13">
        <v>15.35</v>
      </c>
      <c r="G25" s="13">
        <v>19.22</v>
      </c>
      <c r="H25" s="15"/>
      <c r="I25" s="15">
        <v>37</v>
      </c>
      <c r="J25" s="15"/>
      <c r="K25" s="13">
        <v>14.98</v>
      </c>
      <c r="L25" s="15">
        <v>31.2</v>
      </c>
      <c r="M25" s="15"/>
      <c r="N25" s="15">
        <v>17.600000000000001</v>
      </c>
      <c r="O25" s="15"/>
      <c r="P25" s="15">
        <v>19</v>
      </c>
      <c r="Q25" s="15">
        <v>23</v>
      </c>
      <c r="R25" s="13">
        <v>12.87</v>
      </c>
      <c r="S25" s="13">
        <v>32</v>
      </c>
      <c r="T25" s="15">
        <v>27.38</v>
      </c>
      <c r="U25" s="15">
        <v>20.99</v>
      </c>
      <c r="V25" s="15">
        <v>22.92</v>
      </c>
      <c r="W25" s="13">
        <v>26</v>
      </c>
      <c r="X25" s="13"/>
      <c r="Y25" s="13">
        <v>23.55</v>
      </c>
      <c r="Z25" s="13"/>
      <c r="AA25" s="15"/>
      <c r="AB25" s="15">
        <v>24.3</v>
      </c>
      <c r="AC25" s="15">
        <v>17.7</v>
      </c>
      <c r="AD25" s="15"/>
      <c r="AE25" s="15">
        <v>14.49</v>
      </c>
      <c r="AF25" s="15">
        <v>16.04</v>
      </c>
      <c r="AG25" s="13"/>
      <c r="AH25" s="15">
        <v>17.5</v>
      </c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</row>
    <row r="26" spans="1:47" ht="15.75" customHeight="1" x14ac:dyDescent="0.25">
      <c r="A26" s="102"/>
      <c r="B26" s="8" t="s">
        <v>48</v>
      </c>
      <c r="C26" s="9" t="s">
        <v>117</v>
      </c>
      <c r="D26" s="99" t="s">
        <v>1267</v>
      </c>
      <c r="E26" s="10">
        <v>15</v>
      </c>
      <c r="F26" s="8"/>
      <c r="G26" s="8"/>
      <c r="H26" s="10">
        <v>10</v>
      </c>
      <c r="I26" s="10">
        <v>15</v>
      </c>
      <c r="J26" s="10">
        <v>20</v>
      </c>
      <c r="K26" s="8"/>
      <c r="L26" s="10">
        <v>15</v>
      </c>
      <c r="M26" s="10">
        <v>19</v>
      </c>
      <c r="N26" s="10">
        <v>18</v>
      </c>
      <c r="O26" s="10">
        <v>23</v>
      </c>
      <c r="P26" s="10">
        <v>8</v>
      </c>
      <c r="Q26" s="10">
        <v>12.8</v>
      </c>
      <c r="R26" s="8"/>
      <c r="S26" s="8"/>
      <c r="T26" s="10">
        <v>16</v>
      </c>
      <c r="U26" s="10"/>
      <c r="V26" s="10">
        <v>20</v>
      </c>
      <c r="W26" s="8"/>
      <c r="X26" s="8"/>
      <c r="Y26" s="8"/>
      <c r="Z26" s="8"/>
      <c r="AA26" s="10"/>
      <c r="AB26" s="10">
        <v>18</v>
      </c>
      <c r="AC26" s="10"/>
      <c r="AD26" s="10"/>
      <c r="AE26" s="10"/>
      <c r="AF26" s="10">
        <v>12</v>
      </c>
      <c r="AG26" s="8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ht="15.75" customHeight="1" x14ac:dyDescent="0.25">
      <c r="A27" s="101" t="s">
        <v>123</v>
      </c>
      <c r="B27" s="8" t="s">
        <v>124</v>
      </c>
      <c r="C27" s="9" t="s">
        <v>117</v>
      </c>
      <c r="D27" s="99" t="s">
        <v>1268</v>
      </c>
      <c r="E27" s="11">
        <v>928000</v>
      </c>
      <c r="F27" s="11">
        <v>220000</v>
      </c>
      <c r="G27" s="11">
        <v>1900000</v>
      </c>
      <c r="H27" s="11">
        <v>8000000</v>
      </c>
      <c r="I27" s="11">
        <v>17500000</v>
      </c>
      <c r="J27" s="11">
        <v>62310</v>
      </c>
      <c r="K27" s="11">
        <v>3070000</v>
      </c>
      <c r="L27" s="11">
        <v>60000000</v>
      </c>
      <c r="M27" s="11">
        <v>6461000</v>
      </c>
      <c r="N27" s="11">
        <v>20000</v>
      </c>
      <c r="O27" s="11">
        <v>660000</v>
      </c>
      <c r="P27" s="11">
        <v>7750000</v>
      </c>
      <c r="Q27" s="11">
        <v>5100000</v>
      </c>
      <c r="R27" s="11">
        <v>26400</v>
      </c>
      <c r="S27" s="11">
        <v>100000</v>
      </c>
      <c r="T27" s="11">
        <v>3500000</v>
      </c>
      <c r="U27" s="11">
        <v>1150000</v>
      </c>
      <c r="V27" s="11">
        <v>3389524</v>
      </c>
      <c r="W27" s="11">
        <v>4900000</v>
      </c>
      <c r="X27" s="16">
        <v>175000</v>
      </c>
      <c r="Y27" s="11">
        <v>2077515</v>
      </c>
      <c r="Z27" s="11">
        <v>4700000</v>
      </c>
      <c r="AA27" s="11">
        <v>953000</v>
      </c>
      <c r="AB27" s="16">
        <v>8000</v>
      </c>
      <c r="AC27" s="11">
        <v>260149</v>
      </c>
      <c r="AD27" s="11">
        <v>160000</v>
      </c>
      <c r="AE27" s="11">
        <v>8300000</v>
      </c>
      <c r="AF27" s="11">
        <v>1300000</v>
      </c>
      <c r="AG27" s="11">
        <v>1459560</v>
      </c>
      <c r="AH27" s="11">
        <v>1200000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pans="1:47" ht="15.75" customHeight="1" x14ac:dyDescent="0.25">
      <c r="A28" s="102"/>
      <c r="B28" s="8" t="s">
        <v>125</v>
      </c>
      <c r="C28" s="9" t="s">
        <v>117</v>
      </c>
      <c r="D28" s="99" t="s">
        <v>1269</v>
      </c>
      <c r="E28" s="8"/>
      <c r="F28" s="10"/>
      <c r="G28" s="10"/>
      <c r="H28" s="8"/>
      <c r="I28" s="8"/>
      <c r="J28" s="8"/>
      <c r="K28" s="8"/>
      <c r="L28" s="8"/>
      <c r="M28" s="8"/>
      <c r="N28" s="8"/>
      <c r="O28" s="11">
        <v>660000</v>
      </c>
      <c r="P28" s="8"/>
      <c r="Q28" s="8"/>
      <c r="R28" s="10"/>
      <c r="S28" s="8"/>
      <c r="T28" s="8"/>
      <c r="U28" s="10"/>
      <c r="V28" s="8"/>
      <c r="W28" s="10"/>
      <c r="X28" s="11">
        <v>175000</v>
      </c>
      <c r="Y28" s="10"/>
      <c r="Z28" s="8"/>
      <c r="AA28" s="10"/>
      <c r="AB28" s="8"/>
      <c r="AC28" s="10"/>
      <c r="AD28" s="10">
        <v>160000</v>
      </c>
      <c r="AE28" s="11">
        <v>8300000</v>
      </c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7" ht="15.75" customHeight="1" x14ac:dyDescent="0.25">
      <c r="A29" s="102"/>
      <c r="B29" s="8" t="s">
        <v>126</v>
      </c>
      <c r="C29" s="9" t="s">
        <v>117</v>
      </c>
      <c r="D29" s="99" t="s">
        <v>1270</v>
      </c>
      <c r="E29" s="8"/>
      <c r="F29" s="11">
        <v>61000</v>
      </c>
      <c r="G29" s="11">
        <v>410000</v>
      </c>
      <c r="H29" s="8"/>
      <c r="I29" s="11">
        <v>20000</v>
      </c>
      <c r="J29" s="11">
        <v>3739</v>
      </c>
      <c r="K29" s="11">
        <v>5800000</v>
      </c>
      <c r="L29" s="8"/>
      <c r="M29" s="8"/>
      <c r="N29" s="8"/>
      <c r="O29" s="8"/>
      <c r="P29" s="8"/>
      <c r="Q29" s="8"/>
      <c r="R29" s="11">
        <v>18900</v>
      </c>
      <c r="S29" s="11">
        <v>40000</v>
      </c>
      <c r="T29" s="8"/>
      <c r="U29" s="11">
        <v>1550000</v>
      </c>
      <c r="V29" s="11">
        <v>1054204</v>
      </c>
      <c r="W29" s="11">
        <v>435000</v>
      </c>
      <c r="X29" s="10">
        <v>35000</v>
      </c>
      <c r="Y29" s="10">
        <v>115301</v>
      </c>
      <c r="Z29" s="11">
        <v>93193</v>
      </c>
      <c r="AA29" s="10"/>
      <c r="AB29" s="10">
        <v>800</v>
      </c>
      <c r="AC29" s="10"/>
      <c r="AD29" s="10">
        <v>560000</v>
      </c>
      <c r="AE29" s="10"/>
      <c r="AF29" s="11">
        <v>133000</v>
      </c>
      <c r="AG29" s="11">
        <v>1768311</v>
      </c>
      <c r="AH29" s="11">
        <v>1500000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spans="1:47" ht="15.75" customHeight="1" x14ac:dyDescent="0.25">
      <c r="A30" s="102"/>
      <c r="B30" s="8" t="s">
        <v>127</v>
      </c>
      <c r="C30" s="9" t="s">
        <v>117</v>
      </c>
      <c r="D30" s="99" t="s">
        <v>1271</v>
      </c>
      <c r="E30" s="8"/>
      <c r="F30" s="10"/>
      <c r="G30" s="10"/>
      <c r="H30" s="10"/>
      <c r="I30" s="8"/>
      <c r="J30" s="10"/>
      <c r="K30" s="8"/>
      <c r="L30" s="8"/>
      <c r="M30" s="11">
        <v>2769000</v>
      </c>
      <c r="N30" s="8"/>
      <c r="O30" s="10"/>
      <c r="P30" s="10"/>
      <c r="Q30" s="8"/>
      <c r="R30" s="8"/>
      <c r="S30" s="8"/>
      <c r="T30" s="10">
        <v>200</v>
      </c>
      <c r="U30" s="8"/>
      <c r="V30" s="10"/>
      <c r="W30" s="8"/>
      <c r="X30" s="10"/>
      <c r="Y30" s="11">
        <v>115301</v>
      </c>
      <c r="Z30" s="8"/>
      <c r="AA30" s="10"/>
      <c r="AB30" s="8"/>
      <c r="AC30" s="10">
        <v>1600000</v>
      </c>
      <c r="AD30" s="10"/>
      <c r="AE30" s="10"/>
      <c r="AF30" s="10"/>
      <c r="AG30" s="8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 ht="15.75" customHeight="1" x14ac:dyDescent="0.25">
      <c r="A31" s="102"/>
      <c r="B31" s="8" t="s">
        <v>128</v>
      </c>
      <c r="C31" s="9" t="s">
        <v>117</v>
      </c>
      <c r="D31" s="99" t="s">
        <v>1272</v>
      </c>
      <c r="E31" s="8"/>
      <c r="F31" s="10"/>
      <c r="G31" s="10"/>
      <c r="H31" s="10"/>
      <c r="I31" s="8"/>
      <c r="J31" s="10"/>
      <c r="K31" s="8"/>
      <c r="L31" s="8"/>
      <c r="M31" s="8"/>
      <c r="N31" s="8"/>
      <c r="O31" s="10"/>
      <c r="P31" s="10"/>
      <c r="Q31" s="8"/>
      <c r="R31" s="8"/>
      <c r="S31" s="8"/>
      <c r="T31" s="8"/>
      <c r="U31" s="8"/>
      <c r="V31" s="11">
        <v>435249</v>
      </c>
      <c r="W31" s="8"/>
      <c r="X31" s="10"/>
      <c r="Y31" s="11">
        <v>690392</v>
      </c>
      <c r="Z31" s="11">
        <v>2930000</v>
      </c>
      <c r="AA31" s="10"/>
      <c r="AB31" s="8"/>
      <c r="AC31" s="10">
        <v>1200000</v>
      </c>
      <c r="AD31" s="10"/>
      <c r="AE31" s="10"/>
      <c r="AF31" s="10"/>
      <c r="AG31" s="8"/>
      <c r="AH31" s="10"/>
      <c r="AI31" s="10"/>
      <c r="AJ31" s="10" t="e">
        <f>ISBLANK</f>
        <v>#NAME?</v>
      </c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ht="15.75" customHeight="1" x14ac:dyDescent="0.25">
      <c r="A32" s="102"/>
      <c r="B32" s="8" t="s">
        <v>129</v>
      </c>
      <c r="C32" s="9" t="s">
        <v>117</v>
      </c>
      <c r="D32" s="99" t="s">
        <v>1273</v>
      </c>
      <c r="E32" s="8"/>
      <c r="F32" s="10"/>
      <c r="G32" s="10"/>
      <c r="H32" s="10"/>
      <c r="I32" s="8"/>
      <c r="J32" s="10"/>
      <c r="K32" s="8"/>
      <c r="L32" s="8"/>
      <c r="M32" s="8"/>
      <c r="N32" s="8"/>
      <c r="O32" s="10"/>
      <c r="P32" s="10"/>
      <c r="Q32" s="8"/>
      <c r="R32" s="8"/>
      <c r="S32" s="8"/>
      <c r="T32" s="8"/>
      <c r="U32" s="8"/>
      <c r="V32" s="10"/>
      <c r="W32" s="8"/>
      <c r="X32" s="11">
        <v>35000</v>
      </c>
      <c r="Y32" s="10"/>
      <c r="Z32" s="8"/>
      <c r="AA32" s="10"/>
      <c r="AB32" s="10">
        <v>800</v>
      </c>
      <c r="AC32" s="10"/>
      <c r="AD32" s="10">
        <v>560000</v>
      </c>
      <c r="AE32" s="10"/>
      <c r="AF32" s="10"/>
      <c r="AG32" s="8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47" ht="13.2" x14ac:dyDescent="0.25">
      <c r="A33" s="102"/>
      <c r="B33" s="8" t="s">
        <v>130</v>
      </c>
      <c r="C33" s="9" t="s">
        <v>117</v>
      </c>
      <c r="D33" s="99" t="s">
        <v>1274</v>
      </c>
      <c r="E33" s="8"/>
      <c r="F33" s="10">
        <v>6</v>
      </c>
      <c r="G33" s="10">
        <v>300</v>
      </c>
      <c r="H33" s="10"/>
      <c r="I33" s="8"/>
      <c r="J33" s="10"/>
      <c r="K33" s="8"/>
      <c r="L33" s="8"/>
      <c r="M33" s="8"/>
      <c r="N33" s="8"/>
      <c r="O33" s="10">
        <v>400</v>
      </c>
      <c r="P33" s="10">
        <v>714</v>
      </c>
      <c r="Q33" s="11">
        <v>199048</v>
      </c>
      <c r="R33" s="10">
        <v>11</v>
      </c>
      <c r="S33" s="8"/>
      <c r="T33" s="8"/>
      <c r="U33" s="10">
        <v>3</v>
      </c>
      <c r="V33" s="10">
        <v>120</v>
      </c>
      <c r="W33" s="10">
        <v>98</v>
      </c>
      <c r="X33" s="8"/>
      <c r="Y33" s="11">
        <v>115301</v>
      </c>
      <c r="Z33" s="10">
        <v>158</v>
      </c>
      <c r="AA33" s="10"/>
      <c r="AB33" s="8"/>
      <c r="AC33" s="10">
        <v>150</v>
      </c>
      <c r="AD33" s="10">
        <v>100</v>
      </c>
      <c r="AE33" s="10">
        <v>68</v>
      </c>
      <c r="AF33" s="10"/>
      <c r="AG33" s="8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 spans="1:47" ht="13.2" x14ac:dyDescent="0.25">
      <c r="A34" s="102"/>
      <c r="B34" s="8" t="s">
        <v>131</v>
      </c>
      <c r="C34" s="9" t="s">
        <v>117</v>
      </c>
      <c r="D34" s="99" t="s">
        <v>1275</v>
      </c>
      <c r="E34" s="8"/>
      <c r="F34" s="8"/>
      <c r="G34" s="10">
        <v>300</v>
      </c>
      <c r="H34" s="8"/>
      <c r="I34" s="8"/>
      <c r="J34" s="8"/>
      <c r="K34" s="8"/>
      <c r="L34" s="8"/>
      <c r="M34" s="8"/>
      <c r="N34" s="8"/>
      <c r="O34" s="10">
        <v>0.24</v>
      </c>
      <c r="P34" s="8"/>
      <c r="Q34" s="8"/>
      <c r="R34" s="8"/>
      <c r="S34" s="8"/>
      <c r="T34" s="8"/>
      <c r="U34" s="8"/>
      <c r="V34" s="8"/>
      <c r="W34" s="10">
        <v>11.6</v>
      </c>
      <c r="X34" s="8"/>
      <c r="Y34" s="8"/>
      <c r="Z34" s="8"/>
      <c r="AA34" s="10"/>
      <c r="AB34" s="8"/>
      <c r="AC34" s="10">
        <v>50</v>
      </c>
      <c r="AD34" s="10">
        <v>40</v>
      </c>
      <c r="AE34" s="10"/>
      <c r="AF34" s="10"/>
      <c r="AG34" s="8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1:47" ht="13.2" x14ac:dyDescent="0.25">
      <c r="A35" s="102"/>
      <c r="B35" s="8" t="s">
        <v>132</v>
      </c>
      <c r="C35" s="9" t="s">
        <v>117</v>
      </c>
      <c r="D35" s="99" t="s">
        <v>1276</v>
      </c>
      <c r="E35" s="8"/>
      <c r="F35" s="8"/>
      <c r="G35" s="11">
        <v>850000</v>
      </c>
      <c r="H35" s="8"/>
      <c r="I35" s="11">
        <v>30000</v>
      </c>
      <c r="J35" s="8"/>
      <c r="K35" s="8"/>
      <c r="L35" s="8"/>
      <c r="M35" s="8"/>
      <c r="N35" s="8"/>
      <c r="O35" s="11">
        <v>1000000</v>
      </c>
      <c r="P35" s="11">
        <v>1326</v>
      </c>
      <c r="Q35" s="10"/>
      <c r="R35" s="8"/>
      <c r="S35" s="11">
        <v>49441</v>
      </c>
      <c r="T35" s="8"/>
      <c r="U35" s="11">
        <v>244000</v>
      </c>
      <c r="V35" s="8"/>
      <c r="W35" s="11">
        <v>175235</v>
      </c>
      <c r="X35" s="8"/>
      <c r="Y35" s="11">
        <v>690392</v>
      </c>
      <c r="Z35" s="8"/>
      <c r="AA35" s="10"/>
      <c r="AB35" s="10">
        <v>800</v>
      </c>
      <c r="AC35" s="11">
        <v>300000</v>
      </c>
      <c r="AD35" s="11">
        <v>400000</v>
      </c>
      <c r="AE35" s="10"/>
      <c r="AF35" s="11">
        <v>133000</v>
      </c>
      <c r="AG35" s="8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1:47" ht="13.2" x14ac:dyDescent="0.25">
      <c r="A36" s="101" t="s">
        <v>133</v>
      </c>
      <c r="B36" s="8" t="s">
        <v>50</v>
      </c>
      <c r="C36" s="9" t="s">
        <v>117</v>
      </c>
      <c r="D36" s="99" t="s">
        <v>1277</v>
      </c>
      <c r="E36" s="11">
        <v>2360000000</v>
      </c>
      <c r="F36" s="11">
        <v>2520000000</v>
      </c>
      <c r="G36" s="11">
        <v>3490000000</v>
      </c>
      <c r="H36" s="11">
        <v>12554000000</v>
      </c>
      <c r="I36" s="11">
        <v>1950000000</v>
      </c>
      <c r="J36" s="11">
        <v>390210000</v>
      </c>
      <c r="K36" s="11">
        <v>6560000000</v>
      </c>
      <c r="L36" s="11">
        <v>37048660000</v>
      </c>
      <c r="M36" s="11">
        <v>9646040000</v>
      </c>
      <c r="N36" s="11">
        <v>552000000</v>
      </c>
      <c r="O36" s="11">
        <v>4404000000</v>
      </c>
      <c r="P36" s="11">
        <v>8900000000</v>
      </c>
      <c r="Q36" s="11">
        <v>18730000000</v>
      </c>
      <c r="R36" s="11">
        <v>1970000000</v>
      </c>
      <c r="S36" s="11">
        <v>1250000000</v>
      </c>
      <c r="T36" s="11">
        <v>7200000000</v>
      </c>
      <c r="U36" s="11">
        <v>5500000000</v>
      </c>
      <c r="V36" s="11">
        <v>2450000000</v>
      </c>
      <c r="W36" s="11">
        <v>18620000000</v>
      </c>
      <c r="X36" s="11">
        <v>1764000000</v>
      </c>
      <c r="Y36" s="17"/>
      <c r="Z36" s="11">
        <v>32700000000</v>
      </c>
      <c r="AA36" s="11">
        <v>11543000000</v>
      </c>
      <c r="AB36" s="11">
        <v>297000000</v>
      </c>
      <c r="AC36" s="11">
        <v>6300000000</v>
      </c>
      <c r="AD36" s="11">
        <v>2245000000</v>
      </c>
      <c r="AE36" s="11">
        <v>12889999999</v>
      </c>
      <c r="AF36" s="11">
        <v>3000000000</v>
      </c>
      <c r="AG36" s="11">
        <v>11880000000</v>
      </c>
      <c r="AH36" s="11">
        <v>9134890000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spans="1:47" ht="13.2" x14ac:dyDescent="0.25">
      <c r="A37" s="102"/>
      <c r="B37" s="8" t="s">
        <v>52</v>
      </c>
      <c r="C37" s="9" t="s">
        <v>117</v>
      </c>
      <c r="D37" s="99" t="s">
        <v>1278</v>
      </c>
      <c r="E37" s="11">
        <v>1420000000</v>
      </c>
      <c r="F37" s="11">
        <v>1414000000</v>
      </c>
      <c r="G37" s="11">
        <v>1950000000</v>
      </c>
      <c r="H37" s="11"/>
      <c r="I37" s="11">
        <v>1299744000</v>
      </c>
      <c r="J37" s="11">
        <v>117000000</v>
      </c>
      <c r="K37" s="11">
        <v>4620000000</v>
      </c>
      <c r="L37" s="11">
        <v>17314100000</v>
      </c>
      <c r="M37" s="11">
        <v>6584240000</v>
      </c>
      <c r="N37" s="11">
        <v>305000000</v>
      </c>
      <c r="O37" s="11">
        <v>1793000000</v>
      </c>
      <c r="P37" s="11">
        <v>1200000000</v>
      </c>
      <c r="Q37" s="11">
        <v>10820000000</v>
      </c>
      <c r="R37" s="11">
        <v>499700000</v>
      </c>
      <c r="S37" s="11"/>
      <c r="T37" s="11">
        <v>2880000000</v>
      </c>
      <c r="U37" s="8"/>
      <c r="V37" s="11"/>
      <c r="W37" s="11">
        <v>9923000000</v>
      </c>
      <c r="X37" s="11">
        <v>1353000000</v>
      </c>
      <c r="Y37" s="8"/>
      <c r="Z37" s="11">
        <v>17200000000</v>
      </c>
      <c r="AA37" s="11">
        <v>3276000000</v>
      </c>
      <c r="AB37" s="11">
        <v>108000000</v>
      </c>
      <c r="AC37" s="11"/>
      <c r="AD37" s="11">
        <v>835000000</v>
      </c>
      <c r="AE37" s="11">
        <v>8850000000</v>
      </c>
      <c r="AF37" s="11">
        <v>1320000000</v>
      </c>
      <c r="AG37" s="8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1:47" ht="13.2" x14ac:dyDescent="0.25">
      <c r="A38" s="102"/>
      <c r="B38" s="8" t="s">
        <v>54</v>
      </c>
      <c r="C38" s="9" t="s">
        <v>117</v>
      </c>
      <c r="D38" s="99" t="s">
        <v>1279</v>
      </c>
      <c r="E38" s="11">
        <v>940000000</v>
      </c>
      <c r="F38" s="11">
        <v>1106000000</v>
      </c>
      <c r="G38" s="11">
        <v>1540000000</v>
      </c>
      <c r="H38" s="11">
        <v>6372000000</v>
      </c>
      <c r="I38" s="11">
        <v>650256000</v>
      </c>
      <c r="J38" s="11">
        <v>273000000</v>
      </c>
      <c r="K38" s="11">
        <v>1940000000</v>
      </c>
      <c r="L38" s="11">
        <v>19734550000</v>
      </c>
      <c r="M38" s="11">
        <v>3061800000</v>
      </c>
      <c r="N38" s="11">
        <v>247000000</v>
      </c>
      <c r="O38" s="11">
        <v>2611000000</v>
      </c>
      <c r="P38" s="11">
        <v>7641000000</v>
      </c>
      <c r="Q38" s="11">
        <v>7910000000</v>
      </c>
      <c r="R38" s="11">
        <v>1470000000</v>
      </c>
      <c r="S38" s="11">
        <v>150000000</v>
      </c>
      <c r="T38" s="11">
        <v>4320000000</v>
      </c>
      <c r="U38" s="11">
        <v>162800000</v>
      </c>
      <c r="V38" s="11">
        <v>1230000000</v>
      </c>
      <c r="W38" s="11">
        <v>8698000000</v>
      </c>
      <c r="X38" s="11">
        <v>411000000</v>
      </c>
      <c r="Y38" s="11">
        <v>527000000</v>
      </c>
      <c r="Z38" s="11">
        <v>15500000000</v>
      </c>
      <c r="AA38" s="11">
        <v>8267000000</v>
      </c>
      <c r="AB38" s="11">
        <v>190000000</v>
      </c>
      <c r="AC38" s="11">
        <v>2300000000</v>
      </c>
      <c r="AD38" s="11">
        <v>1410000000</v>
      </c>
      <c r="AE38" s="11">
        <v>4039000000</v>
      </c>
      <c r="AF38" s="11">
        <v>1680000000</v>
      </c>
      <c r="AG38" s="11">
        <v>9500000000</v>
      </c>
      <c r="AH38" s="11">
        <v>4420000000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spans="1:47" ht="13.2" x14ac:dyDescent="0.25">
      <c r="A39" s="102"/>
      <c r="B39" s="8" t="s">
        <v>134</v>
      </c>
      <c r="C39" s="9" t="s">
        <v>117</v>
      </c>
      <c r="D39" s="99" t="s">
        <v>1280</v>
      </c>
      <c r="E39" s="8"/>
      <c r="F39" s="8"/>
      <c r="G39" s="8"/>
      <c r="H39" s="8"/>
      <c r="I39" s="8"/>
      <c r="J39" s="10"/>
      <c r="K39" s="8"/>
      <c r="L39" s="8"/>
      <c r="M39" s="8"/>
      <c r="N39" s="8"/>
      <c r="O39" s="11">
        <v>260000000</v>
      </c>
      <c r="P39" s="8"/>
      <c r="Q39" s="8"/>
      <c r="R39" s="11">
        <v>52900000</v>
      </c>
      <c r="S39" s="11">
        <v>200000000</v>
      </c>
      <c r="T39" s="8"/>
      <c r="U39" s="8"/>
      <c r="V39" s="8"/>
      <c r="W39" s="8"/>
      <c r="X39" s="8"/>
      <c r="Y39" s="10"/>
      <c r="Z39" s="10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 ht="13.2" x14ac:dyDescent="0.25">
      <c r="A40" s="102"/>
      <c r="B40" s="8" t="s">
        <v>135</v>
      </c>
      <c r="C40" s="9" t="s">
        <v>117</v>
      </c>
      <c r="D40" s="99" t="s">
        <v>1281</v>
      </c>
      <c r="E40" s="8"/>
      <c r="F40" s="8"/>
      <c r="G40" s="10"/>
      <c r="H40" s="8"/>
      <c r="I40" s="8"/>
      <c r="J40" s="8"/>
      <c r="K40" s="8"/>
      <c r="L40" s="8"/>
      <c r="M40" s="8"/>
      <c r="N40" s="8"/>
      <c r="O40" s="11">
        <v>85000000</v>
      </c>
      <c r="P40" s="8"/>
      <c r="Q40" s="8"/>
      <c r="R40" s="11">
        <v>10600000</v>
      </c>
      <c r="S40" s="8"/>
      <c r="T40" s="8"/>
      <c r="U40" s="8"/>
      <c r="V40" s="8"/>
      <c r="W40" s="8"/>
      <c r="X40" s="8"/>
      <c r="Y40" s="8"/>
      <c r="Z40" s="10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 ht="13.2" x14ac:dyDescent="0.25">
      <c r="A41" s="102"/>
      <c r="B41" s="8" t="s">
        <v>136</v>
      </c>
      <c r="C41" s="9" t="s">
        <v>117</v>
      </c>
      <c r="D41" s="99" t="s">
        <v>1282</v>
      </c>
      <c r="E41" s="8"/>
      <c r="F41" s="8"/>
      <c r="G41" s="10"/>
      <c r="H41" s="8"/>
      <c r="I41" s="8"/>
      <c r="J41" s="11">
        <v>101400000</v>
      </c>
      <c r="K41" s="8"/>
      <c r="L41" s="8"/>
      <c r="M41" s="8"/>
      <c r="N41" s="8"/>
      <c r="O41" s="8"/>
      <c r="P41" s="11">
        <v>7600000000</v>
      </c>
      <c r="Q41" s="8"/>
      <c r="R41" s="10"/>
      <c r="S41" s="8"/>
      <c r="T41" s="11">
        <v>1150000000</v>
      </c>
      <c r="U41" s="11">
        <v>530800000</v>
      </c>
      <c r="V41" s="11">
        <v>621240000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 ht="13.2" x14ac:dyDescent="0.25">
      <c r="A42" s="101" t="s">
        <v>137</v>
      </c>
      <c r="B42" s="8" t="s">
        <v>56</v>
      </c>
      <c r="C42" s="9" t="s">
        <v>117</v>
      </c>
      <c r="D42" s="99" t="s">
        <v>1283</v>
      </c>
      <c r="E42" s="8"/>
      <c r="F42" s="8"/>
      <c r="G42" s="8"/>
      <c r="H42" s="8"/>
      <c r="I42" s="10">
        <v>0.18</v>
      </c>
      <c r="J42" s="10">
        <v>0.43</v>
      </c>
      <c r="K42" s="8"/>
      <c r="L42" s="10">
        <v>0.09</v>
      </c>
      <c r="M42" s="8"/>
      <c r="N42" s="10">
        <v>0.21</v>
      </c>
      <c r="O42" s="8"/>
      <c r="P42" s="10">
        <v>0.1</v>
      </c>
      <c r="Q42" s="8"/>
      <c r="R42" s="8"/>
      <c r="S42" s="10">
        <v>0.23</v>
      </c>
      <c r="T42" s="10">
        <v>0.28000000000000003</v>
      </c>
      <c r="U42" s="10"/>
      <c r="V42" s="8"/>
      <c r="W42" s="8"/>
      <c r="X42" s="8"/>
      <c r="Y42" s="10">
        <v>0.14000000000000001</v>
      </c>
      <c r="Z42" s="10">
        <v>0.09</v>
      </c>
      <c r="AA42" s="10">
        <v>0.09</v>
      </c>
      <c r="AB42" s="8"/>
      <c r="AC42" s="10"/>
      <c r="AD42" s="10">
        <v>0.21</v>
      </c>
      <c r="AE42" s="10">
        <v>8.8999999999999996E-2</v>
      </c>
      <c r="AF42" s="10"/>
      <c r="AG42" s="8"/>
      <c r="AH42" s="10">
        <v>0.1608</v>
      </c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1:47" ht="13.2" x14ac:dyDescent="0.25">
      <c r="A43" s="102"/>
      <c r="B43" s="8" t="s">
        <v>58</v>
      </c>
      <c r="C43" s="9" t="s">
        <v>117</v>
      </c>
      <c r="D43" s="99" t="s">
        <v>1285</v>
      </c>
      <c r="E43" s="8"/>
      <c r="F43" s="8"/>
      <c r="G43" s="8"/>
      <c r="H43" s="8"/>
      <c r="I43" s="8"/>
      <c r="J43" s="10">
        <v>56.6</v>
      </c>
      <c r="K43" s="8"/>
      <c r="L43" s="8"/>
      <c r="M43" s="10">
        <v>60</v>
      </c>
      <c r="N43" s="8"/>
      <c r="O43" s="8"/>
      <c r="P43" s="10">
        <v>45</v>
      </c>
      <c r="Q43" s="8"/>
      <c r="R43" s="8"/>
      <c r="S43" s="10">
        <v>63</v>
      </c>
      <c r="T43" s="8"/>
      <c r="U43" s="10">
        <v>100</v>
      </c>
      <c r="V43" s="10">
        <v>77.47</v>
      </c>
      <c r="W43" s="10"/>
      <c r="X43" s="8"/>
      <c r="Y43" s="8"/>
      <c r="Z43" s="8"/>
      <c r="AA43" s="10">
        <v>0.56000000000000005</v>
      </c>
      <c r="AB43" s="8"/>
      <c r="AC43" s="10">
        <v>0.72</v>
      </c>
      <c r="AD43" s="10"/>
      <c r="AE43" s="10">
        <v>80</v>
      </c>
      <c r="AF43" s="10"/>
      <c r="AG43" s="8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1:47" ht="13.2" x14ac:dyDescent="0.25">
      <c r="A44" s="102"/>
      <c r="B44" s="18" t="s">
        <v>138</v>
      </c>
      <c r="C44" s="19" t="s">
        <v>122</v>
      </c>
      <c r="D44" s="99" t="s">
        <v>1287</v>
      </c>
      <c r="E44" s="20">
        <v>103.49461429999999</v>
      </c>
      <c r="F44" s="20">
        <v>72.454148500000002</v>
      </c>
      <c r="G44" s="20">
        <v>102.9841551</v>
      </c>
      <c r="H44" s="21"/>
      <c r="I44" s="20">
        <v>127.7393405</v>
      </c>
      <c r="J44" s="20">
        <v>93.1538836</v>
      </c>
      <c r="K44" s="22"/>
      <c r="L44" s="20">
        <v>65.858881699999998</v>
      </c>
      <c r="M44" s="20">
        <v>122.538225</v>
      </c>
      <c r="N44" s="20">
        <v>82.678691900000004</v>
      </c>
      <c r="O44" s="20">
        <v>22.513461</v>
      </c>
      <c r="P44" s="20">
        <v>8.2733732999999994</v>
      </c>
      <c r="Q44" s="20">
        <v>106.23326719999901</v>
      </c>
      <c r="R44" s="20">
        <v>102.00067369999999</v>
      </c>
      <c r="S44" s="20">
        <v>70.552905499999994</v>
      </c>
      <c r="T44" s="20">
        <v>39.8903198</v>
      </c>
      <c r="U44" s="20">
        <v>87.409377000000006</v>
      </c>
      <c r="V44" s="20">
        <v>57.030319799999901</v>
      </c>
      <c r="W44" s="20">
        <v>129.3719974</v>
      </c>
      <c r="X44" s="20">
        <v>108.2708703</v>
      </c>
      <c r="Y44" s="20">
        <v>76.148380099999997</v>
      </c>
      <c r="Z44" s="20">
        <v>123.9989456</v>
      </c>
      <c r="AA44" s="20"/>
      <c r="AB44" s="22"/>
      <c r="AC44" s="20">
        <v>60.586428599999998</v>
      </c>
      <c r="AD44" s="20">
        <v>55.650094699999997</v>
      </c>
      <c r="AE44" s="20">
        <v>98.7349356</v>
      </c>
      <c r="AF44" s="20">
        <v>81.213932499999999</v>
      </c>
      <c r="AG44" s="20">
        <v>106.79470550000001</v>
      </c>
      <c r="AH44" s="20">
        <v>83.650698000000006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 spans="1:47" ht="13.2" x14ac:dyDescent="0.25">
      <c r="A45" s="102"/>
      <c r="B45" s="8" t="s">
        <v>60</v>
      </c>
      <c r="C45" s="9" t="s">
        <v>117</v>
      </c>
      <c r="D45" s="99" t="s">
        <v>1289</v>
      </c>
      <c r="E45" s="10">
        <v>100</v>
      </c>
      <c r="F45" s="10">
        <v>100</v>
      </c>
      <c r="G45" s="10">
        <v>100</v>
      </c>
      <c r="H45" s="10"/>
      <c r="I45" s="10"/>
      <c r="J45" s="10"/>
      <c r="K45" s="8"/>
      <c r="L45" s="10"/>
      <c r="M45" s="8"/>
      <c r="N45" s="8"/>
      <c r="O45" s="10"/>
      <c r="P45" s="8"/>
      <c r="Q45" s="8"/>
      <c r="R45" s="8"/>
      <c r="S45" s="8"/>
      <c r="T45" s="10"/>
      <c r="U45" s="8"/>
      <c r="V45" s="10">
        <v>100</v>
      </c>
      <c r="W45" s="8"/>
      <c r="X45" s="10">
        <v>100</v>
      </c>
      <c r="Y45" s="8"/>
      <c r="Z45" s="8"/>
      <c r="AA45" s="8"/>
      <c r="AB45" s="8"/>
      <c r="AC45" s="10"/>
      <c r="AD45" s="10"/>
      <c r="AE45" s="10"/>
      <c r="AF45" s="10">
        <v>100</v>
      </c>
      <c r="AG45" s="8"/>
      <c r="AH45" s="10">
        <v>1</v>
      </c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 spans="1:47" ht="13.2" x14ac:dyDescent="0.25">
      <c r="A46" s="102"/>
      <c r="B46" s="8" t="s">
        <v>62</v>
      </c>
      <c r="C46" s="9" t="s">
        <v>117</v>
      </c>
      <c r="D46" s="99" t="s">
        <v>1290</v>
      </c>
      <c r="E46" s="8"/>
      <c r="F46" s="8"/>
      <c r="G46" s="8"/>
      <c r="H46" s="10">
        <v>72</v>
      </c>
      <c r="I46" s="10">
        <v>51</v>
      </c>
      <c r="J46" s="10">
        <v>80</v>
      </c>
      <c r="K46" s="8"/>
      <c r="L46" s="10">
        <v>61</v>
      </c>
      <c r="M46" s="8"/>
      <c r="N46" s="8"/>
      <c r="O46" s="10">
        <v>86</v>
      </c>
      <c r="P46" s="8"/>
      <c r="Q46" s="8"/>
      <c r="R46" s="8"/>
      <c r="S46" s="8"/>
      <c r="T46" s="10">
        <v>80</v>
      </c>
      <c r="U46" s="8"/>
      <c r="V46" s="10"/>
      <c r="W46" s="8"/>
      <c r="X46" s="8"/>
      <c r="Y46" s="8"/>
      <c r="Z46" s="8"/>
      <c r="AA46" s="10">
        <v>73</v>
      </c>
      <c r="AB46" s="8"/>
      <c r="AC46" s="10"/>
      <c r="AD46" s="10">
        <v>40</v>
      </c>
      <c r="AE46" s="10">
        <v>96</v>
      </c>
      <c r="AF46" s="10"/>
      <c r="AG46" s="8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 spans="1:47" ht="13.2" x14ac:dyDescent="0.25">
      <c r="A47" s="102"/>
      <c r="B47" s="13" t="s">
        <v>139</v>
      </c>
      <c r="C47" s="14" t="s">
        <v>122</v>
      </c>
      <c r="D47" s="99" t="s">
        <v>1292</v>
      </c>
      <c r="E47" s="15">
        <v>86.56</v>
      </c>
      <c r="F47" s="15">
        <v>91.41</v>
      </c>
      <c r="G47" s="15">
        <v>99.66</v>
      </c>
      <c r="H47" s="15"/>
      <c r="I47" s="15">
        <v>282.3</v>
      </c>
      <c r="J47" s="15">
        <v>97.36</v>
      </c>
      <c r="K47" s="15">
        <v>55.24</v>
      </c>
      <c r="L47" s="15">
        <v>89.71</v>
      </c>
      <c r="M47" s="15">
        <v>107.36</v>
      </c>
      <c r="N47" s="15">
        <v>97.85</v>
      </c>
      <c r="O47" s="23">
        <v>39.64</v>
      </c>
      <c r="P47" s="15">
        <v>35.630000000000003</v>
      </c>
      <c r="Q47" s="15">
        <v>97.68</v>
      </c>
      <c r="R47" s="15">
        <v>96.52</v>
      </c>
      <c r="S47" s="15">
        <v>81.73</v>
      </c>
      <c r="T47" s="15">
        <v>90.47</v>
      </c>
      <c r="U47" s="15">
        <v>98.04</v>
      </c>
      <c r="V47" s="15">
        <v>93.75</v>
      </c>
      <c r="W47" s="15">
        <v>116.41</v>
      </c>
      <c r="X47" s="15">
        <v>102.9</v>
      </c>
      <c r="Y47" s="15">
        <v>102.8</v>
      </c>
      <c r="Z47" s="15">
        <v>62.92</v>
      </c>
      <c r="AA47" s="15"/>
      <c r="AB47" s="15">
        <v>78.13</v>
      </c>
      <c r="AC47" s="15">
        <v>90.62</v>
      </c>
      <c r="AD47" s="15">
        <v>80.650000000000006</v>
      </c>
      <c r="AE47" s="15">
        <v>97.9</v>
      </c>
      <c r="AF47" s="15">
        <v>95.64</v>
      </c>
      <c r="AG47" s="13">
        <v>96.15</v>
      </c>
      <c r="AH47" s="15">
        <v>77.5</v>
      </c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</row>
    <row r="48" spans="1:47" ht="13.2" x14ac:dyDescent="0.25">
      <c r="A48" s="102"/>
      <c r="B48" s="8" t="s">
        <v>64</v>
      </c>
      <c r="C48" s="9" t="s">
        <v>117</v>
      </c>
      <c r="D48" s="99" t="s">
        <v>1293</v>
      </c>
      <c r="E48" s="10">
        <v>95</v>
      </c>
      <c r="F48" s="10"/>
      <c r="G48" s="10"/>
      <c r="H48" s="10">
        <v>90</v>
      </c>
      <c r="I48" s="10">
        <v>45</v>
      </c>
      <c r="J48" s="10">
        <v>90</v>
      </c>
      <c r="K48" s="10"/>
      <c r="L48" s="10">
        <v>100</v>
      </c>
      <c r="M48" s="10">
        <v>90</v>
      </c>
      <c r="N48" s="10"/>
      <c r="O48" s="10"/>
      <c r="P48" s="10"/>
      <c r="Q48" s="10"/>
      <c r="R48" s="10">
        <v>100</v>
      </c>
      <c r="S48" s="10">
        <v>100</v>
      </c>
      <c r="T48" s="10">
        <v>90</v>
      </c>
      <c r="U48" s="10">
        <v>100</v>
      </c>
      <c r="V48" s="10"/>
      <c r="W48" s="10">
        <v>100</v>
      </c>
      <c r="X48" s="10"/>
      <c r="Y48" s="10"/>
      <c r="Z48" s="10">
        <v>100</v>
      </c>
      <c r="AA48" s="10">
        <v>95</v>
      </c>
      <c r="AB48" s="10"/>
      <c r="AC48" s="10">
        <v>100</v>
      </c>
      <c r="AD48" s="10">
        <v>100</v>
      </c>
      <c r="AE48" s="10"/>
      <c r="AF48" s="10">
        <v>100</v>
      </c>
      <c r="AG48" s="8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  <row r="49" spans="1:47" ht="13.2" x14ac:dyDescent="0.25">
      <c r="A49" s="101" t="s">
        <v>140</v>
      </c>
      <c r="B49" s="8" t="s">
        <v>66</v>
      </c>
      <c r="C49" s="9" t="s">
        <v>117</v>
      </c>
      <c r="D49" s="99" t="s">
        <v>1294</v>
      </c>
      <c r="E49" s="10">
        <v>16</v>
      </c>
      <c r="F49" s="10">
        <v>8.1999999999999993</v>
      </c>
      <c r="G49" s="10">
        <v>83</v>
      </c>
      <c r="H49" s="10">
        <v>5</v>
      </c>
      <c r="I49" s="10">
        <v>9</v>
      </c>
      <c r="J49" s="10">
        <v>9</v>
      </c>
      <c r="K49" s="10">
        <v>31</v>
      </c>
      <c r="L49" s="10">
        <v>95</v>
      </c>
      <c r="M49" s="10">
        <v>95</v>
      </c>
      <c r="N49" s="10">
        <v>13</v>
      </c>
      <c r="O49" s="10">
        <v>4</v>
      </c>
      <c r="P49" s="10">
        <v>62</v>
      </c>
      <c r="Q49" s="10">
        <v>83</v>
      </c>
      <c r="R49" s="10">
        <v>99.6</v>
      </c>
      <c r="S49" s="10">
        <v>67</v>
      </c>
      <c r="T49" s="10">
        <v>45</v>
      </c>
      <c r="U49" s="10">
        <v>90</v>
      </c>
      <c r="V49" s="10">
        <v>44.36</v>
      </c>
      <c r="W49" s="10">
        <v>78.400000000000006</v>
      </c>
      <c r="X49" s="10">
        <v>54</v>
      </c>
      <c r="Y49" s="10">
        <v>5</v>
      </c>
      <c r="Z49" s="10">
        <v>22</v>
      </c>
      <c r="AA49" s="10">
        <v>29</v>
      </c>
      <c r="AB49" s="10">
        <v>5</v>
      </c>
      <c r="AC49" s="10">
        <v>29</v>
      </c>
      <c r="AD49" s="10">
        <v>46</v>
      </c>
      <c r="AE49" s="10">
        <v>61.8</v>
      </c>
      <c r="AF49" s="10">
        <v>26</v>
      </c>
      <c r="AG49" s="10">
        <v>86.2</v>
      </c>
      <c r="AH49" s="10">
        <v>43</v>
      </c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</row>
    <row r="50" spans="1:47" ht="13.2" x14ac:dyDescent="0.25">
      <c r="A50" s="102"/>
      <c r="B50" s="8" t="s">
        <v>68</v>
      </c>
      <c r="C50" s="9" t="s">
        <v>117</v>
      </c>
      <c r="D50" s="99" t="s">
        <v>1295</v>
      </c>
      <c r="E50" s="10">
        <v>30</v>
      </c>
      <c r="F50" s="10">
        <v>50</v>
      </c>
      <c r="G50" s="10">
        <v>99</v>
      </c>
      <c r="H50" s="10">
        <v>10</v>
      </c>
      <c r="I50" s="10">
        <v>30</v>
      </c>
      <c r="J50" s="10">
        <v>45</v>
      </c>
      <c r="K50" s="10">
        <v>45</v>
      </c>
      <c r="L50" s="10">
        <v>95</v>
      </c>
      <c r="M50" s="10"/>
      <c r="N50" s="10">
        <v>30</v>
      </c>
      <c r="O50" s="10">
        <v>10</v>
      </c>
      <c r="P50" s="10">
        <v>70</v>
      </c>
      <c r="Q50" s="10">
        <v>100</v>
      </c>
      <c r="R50" s="10">
        <v>100</v>
      </c>
      <c r="S50" s="10">
        <v>75</v>
      </c>
      <c r="T50" s="10">
        <v>85</v>
      </c>
      <c r="U50" s="10">
        <v>96.1</v>
      </c>
      <c r="V50" s="10">
        <v>70</v>
      </c>
      <c r="W50" s="10">
        <v>80.599999999999994</v>
      </c>
      <c r="X50" s="10">
        <v>70</v>
      </c>
      <c r="Y50" s="10">
        <v>30</v>
      </c>
      <c r="Z50" s="10">
        <v>50</v>
      </c>
      <c r="AA50" s="10">
        <v>72.8</v>
      </c>
      <c r="AB50" s="10">
        <v>50</v>
      </c>
      <c r="AC50" s="10">
        <v>40</v>
      </c>
      <c r="AD50" s="10">
        <v>52</v>
      </c>
      <c r="AE50" s="10">
        <v>75</v>
      </c>
      <c r="AF50" s="10">
        <v>63</v>
      </c>
      <c r="AG50" s="8"/>
      <c r="AH50" s="10">
        <v>48.6</v>
      </c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 spans="1:47" ht="13.2" x14ac:dyDescent="0.25">
      <c r="A51" s="102"/>
      <c r="B51" s="8" t="s">
        <v>70</v>
      </c>
      <c r="C51" s="9" t="s">
        <v>117</v>
      </c>
      <c r="D51" s="99" t="s">
        <v>1296</v>
      </c>
      <c r="E51" s="8"/>
      <c r="F51" s="8"/>
      <c r="G51" s="11">
        <v>343720000000</v>
      </c>
      <c r="H51" s="8"/>
      <c r="I51" s="8"/>
      <c r="J51" s="8"/>
      <c r="K51" s="11">
        <v>6319428</v>
      </c>
      <c r="L51" s="8"/>
      <c r="M51" s="10"/>
      <c r="N51" s="8"/>
      <c r="O51" s="8"/>
      <c r="P51" s="8"/>
      <c r="Q51" s="8"/>
      <c r="R51" s="8"/>
      <c r="S51" s="8"/>
      <c r="T51" s="8"/>
      <c r="U51" s="11">
        <v>4090750</v>
      </c>
      <c r="V51" s="11">
        <v>1400000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1:47" ht="13.2" x14ac:dyDescent="0.25">
      <c r="A52" s="102"/>
      <c r="B52" s="8" t="s">
        <v>72</v>
      </c>
      <c r="C52" s="9" t="s">
        <v>117</v>
      </c>
      <c r="D52" s="99" t="s">
        <v>1297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0"/>
      <c r="AD52" s="10"/>
      <c r="AE52" s="10"/>
      <c r="AF52" s="10"/>
      <c r="AG52" s="8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 spans="1:47" ht="13.2" x14ac:dyDescent="0.25">
      <c r="A53" s="101" t="s">
        <v>141</v>
      </c>
      <c r="B53" s="8" t="s">
        <v>74</v>
      </c>
      <c r="C53" s="9" t="s">
        <v>117</v>
      </c>
      <c r="D53" s="99" t="s">
        <v>1299</v>
      </c>
      <c r="E53" s="10">
        <v>10.5</v>
      </c>
      <c r="F53" s="10">
        <v>66.599999999999994</v>
      </c>
      <c r="G53" s="8"/>
      <c r="H53" s="10">
        <v>23.4</v>
      </c>
      <c r="I53" s="8"/>
      <c r="J53" s="10">
        <v>0.5</v>
      </c>
      <c r="K53" s="10">
        <v>20</v>
      </c>
      <c r="L53" s="10">
        <v>5</v>
      </c>
      <c r="M53" s="10">
        <v>8</v>
      </c>
      <c r="N53" s="10">
        <v>25</v>
      </c>
      <c r="O53" s="10">
        <v>36.9</v>
      </c>
      <c r="P53" s="10">
        <v>12</v>
      </c>
      <c r="Q53" s="10">
        <v>34.4</v>
      </c>
      <c r="R53" s="10">
        <v>45.2</v>
      </c>
      <c r="S53" s="10">
        <v>0.8</v>
      </c>
      <c r="T53" s="10">
        <v>14</v>
      </c>
      <c r="U53" s="10">
        <v>24.5</v>
      </c>
      <c r="V53" s="10">
        <v>54</v>
      </c>
      <c r="W53" s="10">
        <v>17</v>
      </c>
      <c r="X53" s="10">
        <v>48.5</v>
      </c>
      <c r="Y53" s="10">
        <v>6</v>
      </c>
      <c r="Z53" s="10">
        <v>26</v>
      </c>
      <c r="AA53" s="10">
        <v>39.6</v>
      </c>
      <c r="AB53" s="10">
        <v>62</v>
      </c>
      <c r="AC53" s="10"/>
      <c r="AD53" s="10">
        <v>1.5</v>
      </c>
      <c r="AE53" s="10">
        <v>6.9</v>
      </c>
      <c r="AF53" s="10">
        <v>14</v>
      </c>
      <c r="AG53" s="10">
        <v>8.9</v>
      </c>
      <c r="AH53" s="10">
        <v>38.6</v>
      </c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 spans="1:47" ht="13.2" x14ac:dyDescent="0.25">
      <c r="A54" s="102"/>
      <c r="B54" s="8" t="s">
        <v>142</v>
      </c>
      <c r="C54" s="9" t="s">
        <v>117</v>
      </c>
      <c r="D54" s="99" t="s">
        <v>1301</v>
      </c>
      <c r="E54" s="10"/>
      <c r="F54" s="10">
        <v>86.9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8"/>
      <c r="T54" s="10"/>
      <c r="U54" s="10"/>
      <c r="V54" s="8"/>
      <c r="W54" s="10"/>
      <c r="X54" s="10">
        <v>77.099999999999994</v>
      </c>
      <c r="Y54" s="10"/>
      <c r="Z54" s="10"/>
      <c r="AA54" s="10">
        <v>54.5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 spans="1:47" ht="13.2" x14ac:dyDescent="0.25">
      <c r="A55" s="102"/>
      <c r="B55" s="8" t="s">
        <v>143</v>
      </c>
      <c r="C55" s="9" t="s">
        <v>117</v>
      </c>
      <c r="D55" s="99" t="s">
        <v>1303</v>
      </c>
      <c r="E55" s="10"/>
      <c r="F55" s="10">
        <v>25.3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8"/>
      <c r="T55" s="10"/>
      <c r="U55" s="10"/>
      <c r="V55" s="8"/>
      <c r="W55" s="10"/>
      <c r="X55" s="10">
        <v>13.8</v>
      </c>
      <c r="Y55" s="10"/>
      <c r="Z55" s="10"/>
      <c r="AA55" s="10">
        <v>4.7</v>
      </c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 spans="1:47" ht="13.2" x14ac:dyDescent="0.25">
      <c r="A56" s="102"/>
      <c r="B56" s="8" t="s">
        <v>144</v>
      </c>
      <c r="C56" s="9" t="s">
        <v>117</v>
      </c>
      <c r="D56" s="99" t="s">
        <v>1305</v>
      </c>
      <c r="E56" s="10"/>
      <c r="F56" s="10">
        <v>24.4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>
        <v>1.3</v>
      </c>
      <c r="R56" s="10"/>
      <c r="S56" s="8"/>
      <c r="T56" s="10">
        <v>1</v>
      </c>
      <c r="U56" s="10">
        <v>1.7</v>
      </c>
      <c r="V56" s="8"/>
      <c r="W56" s="10"/>
      <c r="X56" s="10"/>
      <c r="Y56" s="10"/>
      <c r="Z56" s="10">
        <v>1</v>
      </c>
      <c r="AA56" s="10"/>
      <c r="AB56" s="10">
        <v>0.08</v>
      </c>
      <c r="AC56" s="10">
        <v>0.1</v>
      </c>
      <c r="AD56" s="10">
        <v>0</v>
      </c>
      <c r="AE56" s="10"/>
      <c r="AF56" s="10"/>
      <c r="AG56" s="10">
        <v>15.8</v>
      </c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 spans="1:47" ht="13.2" x14ac:dyDescent="0.25">
      <c r="A57" s="102"/>
      <c r="B57" s="8" t="s">
        <v>145</v>
      </c>
      <c r="C57" s="9" t="s">
        <v>117</v>
      </c>
      <c r="D57" s="99" t="s">
        <v>1307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>
        <v>0.3</v>
      </c>
      <c r="R57" s="10"/>
      <c r="S57" s="8"/>
      <c r="T57" s="10">
        <v>1</v>
      </c>
      <c r="U57" s="10">
        <v>0</v>
      </c>
      <c r="V57" s="8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 spans="1:47" ht="13.2" x14ac:dyDescent="0.25">
      <c r="A58" s="102"/>
      <c r="B58" s="8" t="s">
        <v>146</v>
      </c>
      <c r="C58" s="9" t="s">
        <v>117</v>
      </c>
      <c r="D58" s="99" t="s">
        <v>1309</v>
      </c>
      <c r="E58" s="10"/>
      <c r="F58" s="10">
        <v>42.7</v>
      </c>
      <c r="G58" s="10"/>
      <c r="H58" s="10"/>
      <c r="I58" s="10"/>
      <c r="J58" s="10"/>
      <c r="K58" s="10">
        <v>20</v>
      </c>
      <c r="L58" s="10">
        <v>2</v>
      </c>
      <c r="M58" s="10"/>
      <c r="N58" s="10"/>
      <c r="O58" s="10">
        <v>31</v>
      </c>
      <c r="P58" s="10">
        <v>1</v>
      </c>
      <c r="Q58" s="10">
        <v>30.7</v>
      </c>
      <c r="R58" s="10"/>
      <c r="S58" s="8"/>
      <c r="T58" s="10">
        <v>1</v>
      </c>
      <c r="U58" s="10">
        <v>0.3</v>
      </c>
      <c r="V58" s="8"/>
      <c r="W58" s="10">
        <v>14</v>
      </c>
      <c r="X58" s="10">
        <v>21.8</v>
      </c>
      <c r="Y58" s="10">
        <v>4.5999999999999996</v>
      </c>
      <c r="Z58" s="10">
        <v>10.5</v>
      </c>
      <c r="AA58" s="10"/>
      <c r="AB58" s="10">
        <v>18.899999999999999</v>
      </c>
      <c r="AC58" s="10">
        <v>34</v>
      </c>
      <c r="AD58" s="10">
        <v>0.9</v>
      </c>
      <c r="AE58" s="10">
        <v>3.2</v>
      </c>
      <c r="AF58" s="10">
        <v>11</v>
      </c>
      <c r="AG58" s="10">
        <v>0.3</v>
      </c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 spans="1:47" ht="13.2" x14ac:dyDescent="0.25">
      <c r="A59" s="102"/>
      <c r="B59" s="8" t="s">
        <v>147</v>
      </c>
      <c r="C59" s="9" t="s">
        <v>117</v>
      </c>
      <c r="D59" s="99" t="s">
        <v>1311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>
        <v>1.8</v>
      </c>
      <c r="R59" s="10"/>
      <c r="S59" s="8"/>
      <c r="T59" s="10">
        <v>1</v>
      </c>
      <c r="U59" s="10">
        <v>0</v>
      </c>
      <c r="V59" s="8"/>
      <c r="W59" s="10"/>
      <c r="X59" s="10"/>
      <c r="Y59" s="10"/>
      <c r="Z59" s="10"/>
      <c r="AA59" s="10"/>
      <c r="AB59" s="10"/>
      <c r="AC59" s="10"/>
      <c r="AD59" s="10">
        <v>0</v>
      </c>
      <c r="AE59" s="10"/>
      <c r="AF59" s="10"/>
      <c r="AG59" s="10">
        <v>0.1</v>
      </c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 spans="1:47" ht="13.2" x14ac:dyDescent="0.25">
      <c r="A60" s="102"/>
      <c r="B60" s="8" t="s">
        <v>148</v>
      </c>
      <c r="C60" s="9" t="s">
        <v>117</v>
      </c>
      <c r="D60" s="99" t="s">
        <v>1313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8"/>
      <c r="T60" s="10"/>
      <c r="U60" s="10"/>
      <c r="V60" s="8"/>
      <c r="W60" s="10">
        <v>3.4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 spans="1:47" ht="13.2" x14ac:dyDescent="0.25">
      <c r="A61" s="102"/>
      <c r="B61" s="8" t="s">
        <v>76</v>
      </c>
      <c r="C61" s="9" t="s">
        <v>117</v>
      </c>
      <c r="D61" s="99" t="s">
        <v>1315</v>
      </c>
      <c r="E61" s="10">
        <v>50</v>
      </c>
      <c r="F61" s="10">
        <v>90</v>
      </c>
      <c r="G61" s="10">
        <v>40</v>
      </c>
      <c r="H61" s="10">
        <v>40</v>
      </c>
      <c r="I61" s="10">
        <v>46</v>
      </c>
      <c r="J61" s="10">
        <v>30</v>
      </c>
      <c r="K61" s="10">
        <v>50</v>
      </c>
      <c r="L61" s="10">
        <v>30</v>
      </c>
      <c r="M61" s="10">
        <v>57.74</v>
      </c>
      <c r="N61" s="10">
        <v>50</v>
      </c>
      <c r="O61" s="10">
        <v>50</v>
      </c>
      <c r="P61" s="10">
        <v>35</v>
      </c>
      <c r="Q61" s="10">
        <v>100</v>
      </c>
      <c r="R61" s="10">
        <v>75</v>
      </c>
      <c r="S61" s="8"/>
      <c r="T61" s="10">
        <v>50</v>
      </c>
      <c r="U61" s="10">
        <v>75</v>
      </c>
      <c r="V61" s="8"/>
      <c r="W61" s="10">
        <v>54</v>
      </c>
      <c r="X61" s="10">
        <v>61</v>
      </c>
      <c r="Y61" s="10">
        <v>12</v>
      </c>
      <c r="Z61" s="10">
        <v>100</v>
      </c>
      <c r="AA61" s="10">
        <v>81.3</v>
      </c>
      <c r="AB61" s="10">
        <v>75</v>
      </c>
      <c r="AC61" s="12"/>
      <c r="AD61" s="10">
        <v>25</v>
      </c>
      <c r="AE61" s="10">
        <v>75</v>
      </c>
      <c r="AF61" s="10">
        <v>80</v>
      </c>
      <c r="AG61" s="10">
        <v>40</v>
      </c>
      <c r="AH61" s="10">
        <v>70</v>
      </c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 spans="1:47" ht="13.2" x14ac:dyDescent="0.25">
      <c r="A62" s="102"/>
      <c r="B62" s="8" t="s">
        <v>149</v>
      </c>
      <c r="C62" s="9" t="s">
        <v>117</v>
      </c>
      <c r="D62" s="99" t="s">
        <v>1317</v>
      </c>
      <c r="E62" s="8"/>
      <c r="F62" s="8"/>
      <c r="G62" s="8"/>
      <c r="H62" s="10"/>
      <c r="I62" s="8"/>
      <c r="J62" s="11">
        <v>318467</v>
      </c>
      <c r="K62" s="8"/>
      <c r="L62" s="10"/>
      <c r="M62" s="10"/>
      <c r="N62" s="10"/>
      <c r="O62" s="8"/>
      <c r="P62" s="10"/>
      <c r="Q62" s="10"/>
      <c r="R62" s="10"/>
      <c r="S62" s="10"/>
      <c r="T62" s="10"/>
      <c r="U62" s="8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8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 spans="1:47" ht="13.2" x14ac:dyDescent="0.25">
      <c r="A63" s="102"/>
      <c r="B63" s="8" t="s">
        <v>150</v>
      </c>
      <c r="C63" s="9" t="s">
        <v>117</v>
      </c>
      <c r="D63" s="99" t="s">
        <v>1319</v>
      </c>
      <c r="E63" s="8"/>
      <c r="F63" s="10">
        <v>66</v>
      </c>
      <c r="G63" s="8"/>
      <c r="H63" s="10"/>
      <c r="I63" s="8"/>
      <c r="J63" s="10"/>
      <c r="K63" s="8"/>
      <c r="L63" s="10"/>
      <c r="M63" s="10"/>
      <c r="N63" s="10"/>
      <c r="O63" s="10">
        <v>36.9</v>
      </c>
      <c r="P63" s="10">
        <v>12</v>
      </c>
      <c r="Q63" s="10">
        <v>34.4</v>
      </c>
      <c r="R63" s="10">
        <v>45.2</v>
      </c>
      <c r="S63" s="10">
        <v>0.8</v>
      </c>
      <c r="T63" s="10">
        <v>14</v>
      </c>
      <c r="U63" s="10">
        <v>24.5</v>
      </c>
      <c r="V63" s="10">
        <v>54</v>
      </c>
      <c r="W63" s="10">
        <v>17</v>
      </c>
      <c r="X63" s="10">
        <v>48.5</v>
      </c>
      <c r="Y63" s="10">
        <v>4.5999999999999996</v>
      </c>
      <c r="Z63" s="10">
        <v>26</v>
      </c>
      <c r="AA63" s="10">
        <v>39.6</v>
      </c>
      <c r="AB63" s="10">
        <v>62</v>
      </c>
      <c r="AC63" s="10"/>
      <c r="AD63" s="10">
        <v>25</v>
      </c>
      <c r="AE63" s="10">
        <v>6.9</v>
      </c>
      <c r="AF63" s="10">
        <v>80</v>
      </c>
      <c r="AG63" s="8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 spans="1:47" ht="13.2" x14ac:dyDescent="0.25">
      <c r="A64" s="102"/>
      <c r="B64" s="8" t="s">
        <v>151</v>
      </c>
      <c r="C64" s="9" t="s">
        <v>117</v>
      </c>
      <c r="D64" s="99" t="s">
        <v>1321</v>
      </c>
      <c r="E64" s="8"/>
      <c r="F64" s="8"/>
      <c r="G64" s="11">
        <v>6000000</v>
      </c>
      <c r="H64" s="11">
        <v>13400000</v>
      </c>
      <c r="I64" s="8"/>
      <c r="J64" s="8"/>
      <c r="K64" s="8"/>
      <c r="L64" s="11">
        <v>40000000</v>
      </c>
      <c r="M64" s="8"/>
      <c r="N64" s="8"/>
      <c r="O64" s="11">
        <v>3100000</v>
      </c>
      <c r="P64" s="11">
        <v>4100000</v>
      </c>
      <c r="Q64" s="11">
        <v>4800000</v>
      </c>
      <c r="R64" s="8"/>
      <c r="S64" s="11">
        <v>9545</v>
      </c>
      <c r="T64" s="11">
        <v>4100000</v>
      </c>
      <c r="U64" s="8"/>
      <c r="V64" s="8"/>
      <c r="W64" s="8"/>
      <c r="X64" s="8"/>
      <c r="Y64" s="8"/>
      <c r="Z64" s="10"/>
      <c r="AA64" s="8"/>
      <c r="AB64" s="8"/>
      <c r="AC64" s="11">
        <v>15800000</v>
      </c>
      <c r="AD64" s="8"/>
      <c r="AE64" s="8"/>
      <c r="AF64" s="10">
        <v>2000000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spans="1:47" ht="13.2" x14ac:dyDescent="0.25">
      <c r="A65" s="102"/>
      <c r="B65" s="8" t="s">
        <v>152</v>
      </c>
      <c r="C65" s="9" t="s">
        <v>117</v>
      </c>
      <c r="D65" s="99" t="s">
        <v>1323</v>
      </c>
      <c r="E65" s="11">
        <v>1285000</v>
      </c>
      <c r="F65" s="11">
        <v>420000</v>
      </c>
      <c r="G65" s="11">
        <v>1200000</v>
      </c>
      <c r="H65" s="8"/>
      <c r="I65" s="11">
        <v>5500000</v>
      </c>
      <c r="J65" s="8"/>
      <c r="K65" s="11">
        <v>2400000</v>
      </c>
      <c r="L65" s="11">
        <v>5000000</v>
      </c>
      <c r="M65" s="8"/>
      <c r="N65" s="8"/>
      <c r="O65" s="8"/>
      <c r="P65" s="8"/>
      <c r="Q65" s="11">
        <v>15000000</v>
      </c>
      <c r="R65" s="8"/>
      <c r="S65" s="8"/>
      <c r="T65" s="11">
        <v>800000</v>
      </c>
      <c r="U65" s="8"/>
      <c r="V65" s="11">
        <v>480000</v>
      </c>
      <c r="W65" s="11">
        <v>4500000</v>
      </c>
      <c r="X65" s="11">
        <v>200000</v>
      </c>
      <c r="Y65" s="8"/>
      <c r="Z65" s="10"/>
      <c r="AA65" s="8"/>
      <c r="AB65" s="8"/>
      <c r="AC65" s="10"/>
      <c r="AD65" s="10">
        <v>900000</v>
      </c>
      <c r="AE65" s="10"/>
      <c r="AF65" s="10"/>
      <c r="AG65" s="8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</row>
    <row r="66" spans="1:47" ht="13.2" x14ac:dyDescent="0.25">
      <c r="A66" s="103" t="s">
        <v>153</v>
      </c>
      <c r="B66" s="24" t="s">
        <v>154</v>
      </c>
      <c r="D66" s="99" t="s">
        <v>1325</v>
      </c>
      <c r="E66" s="25">
        <f>'Copy of Derived_Data_Quantitati'!D31</f>
        <v>8.3230000000000004</v>
      </c>
      <c r="F66" s="25">
        <f>'Copy of Derived_Data_Quantitati'!E31</f>
        <v>0.58500000000000019</v>
      </c>
      <c r="G66" s="25">
        <f>'Copy of Derived_Data_Quantitati'!F31</f>
        <v>10.373999999999999</v>
      </c>
      <c r="H66" s="25">
        <f>'Copy of Derived_Data_Quantitati'!G31</f>
        <v>7.5659999999999989</v>
      </c>
      <c r="I66" s="25">
        <f>'Copy of Derived_Data_Quantitati'!H31</f>
        <v>18.067</v>
      </c>
      <c r="J66" s="25">
        <f>'Copy of Derived_Data_Quantitati'!I31</f>
        <v>4.500000000000004E-2</v>
      </c>
      <c r="K66" s="25">
        <f>'Copy of Derived_Data_Quantitati'!J31</f>
        <v>11.483999999999998</v>
      </c>
      <c r="L66" s="25">
        <f>'Copy of Derived_Data_Quantitati'!K31</f>
        <v>85.8005</v>
      </c>
      <c r="M66" s="25">
        <f>'Copy of Derived_Data_Quantitati'!L31</f>
        <v>73.975999999999999</v>
      </c>
      <c r="N66" s="25">
        <f>'Copy of Derived_Data_Quantitati'!M31</f>
        <v>0.73640000000000017</v>
      </c>
      <c r="O66" s="25">
        <f>'Copy of Derived_Data_Quantitati'!N31</f>
        <v>3.7839999999999989</v>
      </c>
      <c r="P66" s="25">
        <f>'Copy of Derived_Data_Quantitati'!O31</f>
        <v>6.9559999999999995</v>
      </c>
      <c r="Q66" s="25">
        <f>'Copy of Derived_Data_Quantitati'!P31</f>
        <v>14.100000000000001</v>
      </c>
      <c r="R66" s="25">
        <f>'Copy of Derived_Data_Quantitati'!Q31</f>
        <v>1.081</v>
      </c>
      <c r="S66" s="25">
        <f>'Copy of Derived_Data_Quantitati'!R31</f>
        <v>3.7687999999999997</v>
      </c>
      <c r="T66" s="25">
        <f>'Copy of Derived_Data_Quantitati'!S31</f>
        <v>20.48</v>
      </c>
      <c r="U66" s="25">
        <f>'Copy of Derived_Data_Quantitati'!T31</f>
        <v>16.079699999999999</v>
      </c>
      <c r="V66" s="25">
        <f>'Copy of Derived_Data_Quantitati'!U31</f>
        <v>2.34</v>
      </c>
      <c r="W66" s="25">
        <f>'Copy of Derived_Data_Quantitati'!V31</f>
        <v>13.805400000000002</v>
      </c>
      <c r="X66" s="25">
        <f>'Copy of Derived_Data_Quantitati'!W31</f>
        <v>1.2150000000000001</v>
      </c>
      <c r="Y66" s="25">
        <f>'Copy of Derived_Data_Quantitati'!X31</f>
        <v>21.373200000000001</v>
      </c>
      <c r="Z66" s="25">
        <f>'Copy of Derived_Data_Quantitati'!Y31</f>
        <v>90.752999999999986</v>
      </c>
      <c r="AA66" s="25">
        <f>'Copy of Derived_Data_Quantitati'!Z31</f>
        <v>4.3054199999999998</v>
      </c>
      <c r="AB66" s="25">
        <f>'Copy of Derived_Data_Quantitati'!AA31</f>
        <v>3.2000000000000001E-2</v>
      </c>
      <c r="AC66" s="25">
        <f>'Copy of Derived_Data_Quantitati'!AB31</f>
        <v>2.9600000000000009</v>
      </c>
      <c r="AD66" s="25">
        <f>'Copy of Derived_Data_Quantitati'!AC31</f>
        <v>5.5039999999999996</v>
      </c>
      <c r="AE66" s="25">
        <f>'Copy of Derived_Data_Quantitati'!AE31</f>
        <v>14.817599999999999</v>
      </c>
      <c r="AF66" s="25">
        <f>'Copy of Derived_Data_Quantitati'!AD31</f>
        <v>2.8500000000000005</v>
      </c>
      <c r="AG66" s="25">
        <f>'Copy of Derived_Data_Quantitati'!AF31</f>
        <v>9.8832000000000004</v>
      </c>
      <c r="AH66" s="25">
        <f>'Copy of Derived_Data_Quantitati'!AG31</f>
        <v>6.3079999999999998</v>
      </c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</row>
    <row r="67" spans="1:47" ht="13.2" x14ac:dyDescent="0.25">
      <c r="A67" s="102"/>
      <c r="B67" s="24" t="s">
        <v>155</v>
      </c>
      <c r="D67" s="99" t="s">
        <v>1327</v>
      </c>
      <c r="E67" s="27">
        <f>'Copy of Derived_Data_Quantitati'!D32</f>
        <v>4.9860000000000007</v>
      </c>
      <c r="F67" s="27">
        <f>'Copy of Derived_Data_Quantitati'!E32</f>
        <v>0</v>
      </c>
      <c r="G67" s="27">
        <f>'Copy of Derived_Data_Quantitati'!F32</f>
        <v>4.854000000000001</v>
      </c>
      <c r="H67" s="27">
        <f>'Copy of Derived_Data_Quantitati'!G32</f>
        <v>0</v>
      </c>
      <c r="I67" s="27">
        <f>'Copy of Derived_Data_Quantitati'!H32</f>
        <v>2.4209999999999994</v>
      </c>
      <c r="J67" s="27">
        <f>'Copy of Derived_Data_Quantitati'!I32</f>
        <v>0</v>
      </c>
      <c r="K67" s="27">
        <f>'Copy of Derived_Data_Quantitati'!J32</f>
        <v>0</v>
      </c>
      <c r="L67" s="27">
        <f>'Copy of Derived_Data_Quantitati'!K32</f>
        <v>49.981400000000008</v>
      </c>
      <c r="M67" s="27">
        <f>'Copy of Derived_Data_Quantitati'!L32</f>
        <v>38.215000000000003</v>
      </c>
      <c r="N67" s="27">
        <f>'Copy of Derived_Data_Quantitati'!M32</f>
        <v>0</v>
      </c>
      <c r="O67" s="27">
        <f>'Copy of Derived_Data_Quantitati'!N32</f>
        <v>7.6439999999998065E-2</v>
      </c>
      <c r="P67" s="27">
        <f>'Copy of Derived_Data_Quantitati'!O32</f>
        <v>0</v>
      </c>
      <c r="Q67" s="27">
        <f>'Copy of Derived_Data_Quantitati'!P32</f>
        <v>0</v>
      </c>
      <c r="R67" s="27">
        <f>'Copy of Derived_Data_Quantitati'!Q32</f>
        <v>0</v>
      </c>
      <c r="S67" s="27">
        <f>'Copy of Derived_Data_Quantitati'!R32</f>
        <v>1.5925000000000002</v>
      </c>
      <c r="T67" s="27">
        <f>'Copy of Derived_Data_Quantitati'!S32</f>
        <v>7.3379999999999974</v>
      </c>
      <c r="U67" s="27">
        <f>'Copy of Derived_Data_Quantitati'!T32</f>
        <v>7.5480000000000018</v>
      </c>
      <c r="V67" s="27">
        <f>'Copy of Derived_Data_Quantitati'!U32</f>
        <v>0</v>
      </c>
      <c r="W67" s="27">
        <f>'Copy of Derived_Data_Quantitati'!V32</f>
        <v>0</v>
      </c>
      <c r="X67" s="27">
        <f>'Copy of Derived_Data_Quantitati'!W32</f>
        <v>1.0170000000000003</v>
      </c>
      <c r="Y67" s="27">
        <f>'Copy of Derived_Data_Quantitati'!X32</f>
        <v>13.008000000000003</v>
      </c>
      <c r="Z67" s="27">
        <f>'Copy of Derived_Data_Quantitati'!Y32</f>
        <v>0</v>
      </c>
      <c r="AA67" s="27">
        <f>'Copy of Derived_Data_Quantitati'!Z32</f>
        <v>1.3613600000000003</v>
      </c>
      <c r="AB67" s="27">
        <f>'Copy of Derived_Data_Quantitati'!AA32</f>
        <v>0</v>
      </c>
      <c r="AC67" s="27">
        <f>'Copy of Derived_Data_Quantitati'!AB32</f>
        <v>0</v>
      </c>
      <c r="AD67" s="27">
        <f>'Copy of Derived_Data_Quantitati'!AC32</f>
        <v>2.1317999999999993</v>
      </c>
      <c r="AE67" s="27">
        <f>'Copy of Derived_Data_Quantitati'!AE32</f>
        <v>0</v>
      </c>
      <c r="AF67" s="27">
        <f>'Copy of Derived_Data_Quantitati'!AD32</f>
        <v>0</v>
      </c>
      <c r="AG67" s="27">
        <f>'Copy of Derived_Data_Quantitati'!AF32</f>
        <v>0</v>
      </c>
      <c r="AH67" s="27">
        <f>'Copy of Derived_Data_Quantitati'!AG32</f>
        <v>0</v>
      </c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</row>
    <row r="68" spans="1:47" ht="13.2" x14ac:dyDescent="0.25">
      <c r="A68" s="102"/>
      <c r="B68" s="26" t="s">
        <v>156</v>
      </c>
      <c r="D68" s="99" t="s">
        <v>1329</v>
      </c>
      <c r="E68" s="27">
        <f>'Copy of Derived_Data_Quantitati'!D35</f>
        <v>3.3369999999999997</v>
      </c>
      <c r="F68" s="27">
        <f>'Copy of Derived_Data_Quantitati'!E35</f>
        <v>0.58500000000000019</v>
      </c>
      <c r="G68" s="27">
        <f>'Copy of Derived_Data_Quantitati'!F35</f>
        <v>5.5199999999999978</v>
      </c>
      <c r="H68" s="27">
        <f>'Copy of Derived_Data_Quantitati'!G35</f>
        <v>7.5659999999999989</v>
      </c>
      <c r="I68" s="27">
        <f>'Copy of Derived_Data_Quantitati'!H35</f>
        <v>15.646000000000001</v>
      </c>
      <c r="J68" s="27">
        <f>'Copy of Derived_Data_Quantitati'!I35</f>
        <v>4.500000000000004E-2</v>
      </c>
      <c r="K68" s="27">
        <f>'Copy of Derived_Data_Quantitati'!J35</f>
        <v>11.483999999999998</v>
      </c>
      <c r="L68" s="27">
        <f>'Copy of Derived_Data_Quantitati'!K35</f>
        <v>35.819099999999992</v>
      </c>
      <c r="M68" s="27">
        <f>'Copy of Derived_Data_Quantitati'!L35</f>
        <v>35.760999999999996</v>
      </c>
      <c r="N68" s="27">
        <f>'Copy of Derived_Data_Quantitati'!M35</f>
        <v>0.73640000000000017</v>
      </c>
      <c r="O68" s="27">
        <f>'Copy of Derived_Data_Quantitati'!N35</f>
        <v>3.7075600000000009</v>
      </c>
      <c r="P68" s="27">
        <f>'Copy of Derived_Data_Quantitati'!O35</f>
        <v>6.9559999999999995</v>
      </c>
      <c r="Q68" s="27">
        <f>'Copy of Derived_Data_Quantitati'!P35</f>
        <v>14.100000000000001</v>
      </c>
      <c r="R68" s="27">
        <f>'Copy of Derived_Data_Quantitati'!Q35</f>
        <v>1.081</v>
      </c>
      <c r="S68" s="27">
        <f>'Copy of Derived_Data_Quantitati'!R35</f>
        <v>2.1762999999999995</v>
      </c>
      <c r="T68" s="27">
        <f>'Copy of Derived_Data_Quantitati'!S35</f>
        <v>13.142000000000003</v>
      </c>
      <c r="U68" s="27">
        <f>'Copy of Derived_Data_Quantitati'!T35</f>
        <v>8.5316999999999972</v>
      </c>
      <c r="V68" s="27">
        <f>'Copy of Derived_Data_Quantitati'!U35</f>
        <v>2.34</v>
      </c>
      <c r="W68" s="27">
        <f>'Copy of Derived_Data_Quantitati'!V35</f>
        <v>13.805400000000002</v>
      </c>
      <c r="X68" s="27">
        <f>'Copy of Derived_Data_Quantitati'!W35</f>
        <v>0.19799999999999973</v>
      </c>
      <c r="Y68" s="27">
        <f>'Copy of Derived_Data_Quantitati'!X35</f>
        <v>8.365199999999998</v>
      </c>
      <c r="Z68" s="27">
        <f>'Copy of Derived_Data_Quantitati'!Y35</f>
        <v>90.752999999999986</v>
      </c>
      <c r="AA68" s="27">
        <f>'Copy of Derived_Data_Quantitati'!Z35</f>
        <v>2.9440599999999995</v>
      </c>
      <c r="AB68" s="27">
        <f>'Copy of Derived_Data_Quantitati'!AA35</f>
        <v>3.2000000000000001E-2</v>
      </c>
      <c r="AC68" s="27">
        <f>'Copy of Derived_Data_Quantitati'!AB35</f>
        <v>2.9600000000000009</v>
      </c>
      <c r="AD68" s="27">
        <f>'Copy of Derived_Data_Quantitati'!AC35</f>
        <v>3.3722000000000003</v>
      </c>
      <c r="AE68" s="27">
        <f>'Copy of Derived_Data_Quantitati'!AE35</f>
        <v>14.817599999999999</v>
      </c>
      <c r="AF68" s="27">
        <f>'Copy of Derived_Data_Quantitati'!AD35</f>
        <v>2.8500000000000005</v>
      </c>
      <c r="AG68" s="27">
        <f>'Copy of Derived_Data_Quantitati'!AF35</f>
        <v>9.8832000000000004</v>
      </c>
      <c r="AH68" s="27">
        <f>'Copy of Derived_Data_Quantitati'!AG35</f>
        <v>6.3079999999999998</v>
      </c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</row>
    <row r="69" spans="1:47" ht="13.2" x14ac:dyDescent="0.25">
      <c r="A69" s="102"/>
      <c r="B69" s="26" t="s">
        <v>157</v>
      </c>
      <c r="D69" s="99" t="s">
        <v>1331</v>
      </c>
      <c r="E69" s="25">
        <f>'Copy of Derived_Data_Quantitati'!D29</f>
        <v>5.4570000000000007</v>
      </c>
      <c r="F69" s="25">
        <f>'Copy of Derived_Data_Quantitati'!E29</f>
        <v>0.8550000000000002</v>
      </c>
      <c r="G69" s="25">
        <f>'Copy of Derived_Data_Quantitati'!F29</f>
        <v>7.6999999999999984</v>
      </c>
      <c r="H69" s="25">
        <f>'Copy of Derived_Data_Quantitati'!G29</f>
        <v>12.245999999999999</v>
      </c>
      <c r="I69" s="25">
        <f>'Copy of Derived_Data_Quantitati'!H29</f>
        <v>19.556000000000001</v>
      </c>
      <c r="J69" s="25">
        <f>'Copy of Derived_Data_Quantitati'!I29</f>
        <v>0.10499999999999998</v>
      </c>
      <c r="K69" s="25">
        <f>'Copy of Derived_Data_Quantitati'!J29</f>
        <v>16.284000000000002</v>
      </c>
      <c r="L69" s="25">
        <f>'Copy of Derived_Data_Quantitati'!K29</f>
        <v>58.049099999999996</v>
      </c>
      <c r="M69" s="25">
        <f>'Copy of Derived_Data_Quantitati'!L29</f>
        <v>56.521000000000015</v>
      </c>
      <c r="N69" s="25">
        <f>'Copy of Derived_Data_Quantitati'!M29</f>
        <v>1.0664000000000002</v>
      </c>
      <c r="O69" s="25">
        <f>'Copy of Derived_Data_Quantitati'!N29</f>
        <v>7.5275600000000011</v>
      </c>
      <c r="P69" s="25">
        <f>'Copy of Derived_Data_Quantitati'!O29</f>
        <v>8.9659999999999975</v>
      </c>
      <c r="Q69" s="25">
        <f>'Copy of Derived_Data_Quantitati'!P29</f>
        <v>20.800000000000004</v>
      </c>
      <c r="R69" s="25">
        <f>'Copy of Derived_Data_Quantitati'!Q29</f>
        <v>1.2710000000000004</v>
      </c>
      <c r="S69" s="25">
        <f>'Copy of Derived_Data_Quantitati'!R29</f>
        <v>2.9462999999999999</v>
      </c>
      <c r="T69" s="25">
        <f>'Copy of Derived_Data_Quantitati'!S29</f>
        <v>17.832000000000001</v>
      </c>
      <c r="U69" s="25">
        <f>'Copy of Derived_Data_Quantitati'!T29</f>
        <v>11.991699999999998</v>
      </c>
      <c r="V69" s="25">
        <f>'Copy of Derived_Data_Quantitati'!U29</f>
        <v>3.1999999999999993</v>
      </c>
      <c r="W69" s="25">
        <f>'Copy of Derived_Data_Quantitati'!V29</f>
        <v>20.055400000000002</v>
      </c>
      <c r="X69" s="25">
        <f>'Copy of Derived_Data_Quantitati'!W29</f>
        <v>0.58799999999999986</v>
      </c>
      <c r="Y69" s="25">
        <f>'Copy of Derived_Data_Quantitati'!X29</f>
        <v>13.885200000000001</v>
      </c>
      <c r="Z69" s="25">
        <f>'Copy of Derived_Data_Quantitati'!Y29</f>
        <v>120.43299999999999</v>
      </c>
      <c r="AA69" s="25">
        <f>'Copy of Derived_Data_Quantitati'!Z29</f>
        <v>3.9240599999999999</v>
      </c>
      <c r="AB69" s="25">
        <f>'Copy of Derived_Data_Quantitati'!AA29</f>
        <v>9.1999999999999998E-2</v>
      </c>
      <c r="AC69" s="25">
        <f>'Copy of Derived_Data_Quantitati'!AB29</f>
        <v>5.620000000000001</v>
      </c>
      <c r="AD69" s="25">
        <f>'Copy of Derived_Data_Quantitati'!AC29</f>
        <v>4.4622000000000011</v>
      </c>
      <c r="AE69" s="25">
        <f>'Copy of Derived_Data_Quantitati'!AE29</f>
        <v>27.127600000000001</v>
      </c>
      <c r="AF69" s="25">
        <f>'Copy of Derived_Data_Quantitati'!AD29</f>
        <v>4.1399999999999997</v>
      </c>
      <c r="AG69" s="25">
        <f>'Copy of Derived_Data_Quantitati'!AF29</f>
        <v>13.603199999999999</v>
      </c>
      <c r="AH69" s="25">
        <f>'Copy of Derived_Data_Quantitati'!AG29</f>
        <v>8.3179999999999978</v>
      </c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</row>
    <row r="70" spans="1:47" ht="13.2" x14ac:dyDescent="0.25">
      <c r="A70" s="104" t="s">
        <v>158</v>
      </c>
      <c r="B70" s="28" t="s">
        <v>159</v>
      </c>
      <c r="D70" s="99" t="s">
        <v>1333</v>
      </c>
      <c r="E70" s="27">
        <f>'Copy of Derived_Data_Quantitati'!D31</f>
        <v>8.3230000000000004</v>
      </c>
      <c r="F70" s="27">
        <f>'Copy of Derived_Data_Quantitati'!E31</f>
        <v>0.58500000000000019</v>
      </c>
      <c r="G70" s="27">
        <f>'Copy of Derived_Data_Quantitati'!F31</f>
        <v>10.373999999999999</v>
      </c>
      <c r="H70" s="27">
        <f>'Copy of Derived_Data_Quantitati'!G31</f>
        <v>7.5659999999999989</v>
      </c>
      <c r="I70" s="27">
        <f>'Copy of Derived_Data_Quantitati'!H31</f>
        <v>18.067</v>
      </c>
      <c r="J70" s="27">
        <f>'Copy of Derived_Data_Quantitati'!I31</f>
        <v>4.500000000000004E-2</v>
      </c>
      <c r="K70" s="27">
        <f>'Copy of Derived_Data_Quantitati'!J31</f>
        <v>11.483999999999998</v>
      </c>
      <c r="L70" s="27">
        <f>'Copy of Derived_Data_Quantitati'!K31</f>
        <v>85.8005</v>
      </c>
      <c r="M70" s="27">
        <f>'Copy of Derived_Data_Quantitati'!L31</f>
        <v>73.975999999999999</v>
      </c>
      <c r="N70" s="27">
        <f>'Copy of Derived_Data_Quantitati'!M31</f>
        <v>0.73640000000000017</v>
      </c>
      <c r="O70" s="27">
        <f>'Copy of Derived_Data_Quantitati'!N31</f>
        <v>3.7839999999999989</v>
      </c>
      <c r="P70" s="27">
        <f>'Copy of Derived_Data_Quantitati'!O31</f>
        <v>6.9559999999999995</v>
      </c>
      <c r="Q70" s="27">
        <f>'Copy of Derived_Data_Quantitati'!P31</f>
        <v>14.100000000000001</v>
      </c>
      <c r="R70" s="27">
        <f>'Copy of Derived_Data_Quantitati'!Q31</f>
        <v>1.081</v>
      </c>
      <c r="S70" s="27">
        <f>'Copy of Derived_Data_Quantitati'!R31</f>
        <v>3.7687999999999997</v>
      </c>
      <c r="T70" s="27">
        <f>'Copy of Derived_Data_Quantitati'!S31</f>
        <v>20.48</v>
      </c>
      <c r="U70" s="27">
        <f>'Copy of Derived_Data_Quantitati'!T31</f>
        <v>16.079699999999999</v>
      </c>
      <c r="V70" s="27">
        <f>'Copy of Derived_Data_Quantitati'!U31</f>
        <v>2.34</v>
      </c>
      <c r="W70" s="27">
        <f>'Copy of Derived_Data_Quantitati'!V31</f>
        <v>13.805400000000002</v>
      </c>
      <c r="X70" s="27">
        <f>'Copy of Derived_Data_Quantitati'!W31</f>
        <v>1.2150000000000001</v>
      </c>
      <c r="Y70" s="27">
        <f>'Copy of Derived_Data_Quantitati'!X31</f>
        <v>21.373200000000001</v>
      </c>
      <c r="Z70" s="27">
        <f>'Copy of Derived_Data_Quantitati'!Y31</f>
        <v>90.752999999999986</v>
      </c>
      <c r="AA70" s="27">
        <f>'Copy of Derived_Data_Quantitati'!Z31</f>
        <v>4.3054199999999998</v>
      </c>
      <c r="AB70" s="27">
        <f>'Copy of Derived_Data_Quantitati'!AA31</f>
        <v>3.2000000000000001E-2</v>
      </c>
      <c r="AC70" s="27">
        <f>'Copy of Derived_Data_Quantitati'!AB31</f>
        <v>2.9600000000000009</v>
      </c>
      <c r="AD70" s="27">
        <f>'Copy of Derived_Data_Quantitati'!AC31</f>
        <v>5.5039999999999996</v>
      </c>
      <c r="AE70" s="27">
        <f>'Copy of Derived_Data_Quantitati'!AE31</f>
        <v>14.817599999999999</v>
      </c>
      <c r="AF70" s="27">
        <f>'Copy of Derived_Data_Quantitati'!AD31</f>
        <v>2.8500000000000005</v>
      </c>
      <c r="AG70" s="27">
        <f>'Copy of Derived_Data_Quantitati'!AF31</f>
        <v>9.8832000000000004</v>
      </c>
      <c r="AH70" s="27">
        <f>'Copy of Derived_Data_Quantitati'!AG31</f>
        <v>6.3079999999999998</v>
      </c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</row>
    <row r="71" spans="1:47" ht="13.2" x14ac:dyDescent="0.25">
      <c r="A71" s="102"/>
      <c r="B71" s="28" t="s">
        <v>160</v>
      </c>
      <c r="C71" s="9"/>
      <c r="D71" s="99" t="s">
        <v>1335</v>
      </c>
      <c r="E71" s="25">
        <f>'Copy of Derived_Data_Quantitati'!D32</f>
        <v>4.9860000000000007</v>
      </c>
      <c r="F71" s="25">
        <f>'Copy of Derived_Data_Quantitati'!E32</f>
        <v>0</v>
      </c>
      <c r="G71" s="25">
        <f>'Copy of Derived_Data_Quantitati'!F32</f>
        <v>4.854000000000001</v>
      </c>
      <c r="H71" s="25">
        <f>'Copy of Derived_Data_Quantitati'!G32</f>
        <v>0</v>
      </c>
      <c r="I71" s="25">
        <f>'Copy of Derived_Data_Quantitati'!H32</f>
        <v>2.4209999999999994</v>
      </c>
      <c r="J71" s="25">
        <f>'Copy of Derived_Data_Quantitati'!I32</f>
        <v>0</v>
      </c>
      <c r="K71" s="25">
        <f>'Copy of Derived_Data_Quantitati'!J32</f>
        <v>0</v>
      </c>
      <c r="L71" s="25">
        <f>'Copy of Derived_Data_Quantitati'!K32</f>
        <v>49.981400000000008</v>
      </c>
      <c r="M71" s="25">
        <f>'Copy of Derived_Data_Quantitati'!L32</f>
        <v>38.215000000000003</v>
      </c>
      <c r="N71" s="25">
        <f>'Copy of Derived_Data_Quantitati'!M32</f>
        <v>0</v>
      </c>
      <c r="O71" s="25">
        <f>'Copy of Derived_Data_Quantitati'!N32</f>
        <v>7.6439999999998065E-2</v>
      </c>
      <c r="P71" s="25">
        <f>'Copy of Derived_Data_Quantitati'!O32</f>
        <v>0</v>
      </c>
      <c r="Q71" s="25">
        <f>'Copy of Derived_Data_Quantitati'!P32</f>
        <v>0</v>
      </c>
      <c r="R71" s="25">
        <f>'Copy of Derived_Data_Quantitati'!Q32</f>
        <v>0</v>
      </c>
      <c r="S71" s="25">
        <f>'Copy of Derived_Data_Quantitati'!R32</f>
        <v>1.5925000000000002</v>
      </c>
      <c r="T71" s="25">
        <f>'Copy of Derived_Data_Quantitati'!S32</f>
        <v>7.3379999999999974</v>
      </c>
      <c r="U71" s="25">
        <f>'Copy of Derived_Data_Quantitati'!T32</f>
        <v>7.5480000000000018</v>
      </c>
      <c r="V71" s="25">
        <f>'Copy of Derived_Data_Quantitati'!U32</f>
        <v>0</v>
      </c>
      <c r="W71" s="25">
        <f>'Copy of Derived_Data_Quantitati'!V32</f>
        <v>0</v>
      </c>
      <c r="X71" s="25">
        <f>'Copy of Derived_Data_Quantitati'!W32</f>
        <v>1.0170000000000003</v>
      </c>
      <c r="Y71" s="25">
        <f>'Copy of Derived_Data_Quantitati'!X32</f>
        <v>13.008000000000003</v>
      </c>
      <c r="Z71" s="25">
        <f>'Copy of Derived_Data_Quantitati'!Y32</f>
        <v>0</v>
      </c>
      <c r="AA71" s="25">
        <f>'Copy of Derived_Data_Quantitati'!Z32</f>
        <v>1.3613600000000003</v>
      </c>
      <c r="AB71" s="25">
        <f>'Copy of Derived_Data_Quantitati'!AA32</f>
        <v>0</v>
      </c>
      <c r="AC71" s="25">
        <f>'Copy of Derived_Data_Quantitati'!AB32</f>
        <v>0</v>
      </c>
      <c r="AD71" s="25">
        <f>'Copy of Derived_Data_Quantitati'!AC32</f>
        <v>2.1317999999999993</v>
      </c>
      <c r="AE71" s="25">
        <f>'Copy of Derived_Data_Quantitati'!AE32</f>
        <v>0</v>
      </c>
      <c r="AF71" s="25">
        <f>'Copy of Derived_Data_Quantitati'!AD32</f>
        <v>0</v>
      </c>
      <c r="AG71" s="25">
        <f>'Copy of Derived_Data_Quantitati'!AF32</f>
        <v>0</v>
      </c>
      <c r="AH71" s="25">
        <f>'Copy of Derived_Data_Quantitati'!AG32</f>
        <v>0</v>
      </c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</row>
    <row r="72" spans="1:47" ht="13.2" x14ac:dyDescent="0.25">
      <c r="A72" s="102"/>
      <c r="B72" s="26" t="s">
        <v>161</v>
      </c>
      <c r="C72" s="9"/>
      <c r="D72" s="99" t="s">
        <v>1337</v>
      </c>
      <c r="E72" s="25">
        <f>'Copy of Derived_Data_Quantitati'!D35</f>
        <v>3.3369999999999997</v>
      </c>
      <c r="F72" s="25">
        <f>'Copy of Derived_Data_Quantitati'!E35</f>
        <v>0.58500000000000019</v>
      </c>
      <c r="G72" s="25">
        <f>'Copy of Derived_Data_Quantitati'!F35</f>
        <v>5.5199999999999978</v>
      </c>
      <c r="H72" s="25">
        <f>'Copy of Derived_Data_Quantitati'!G35</f>
        <v>7.5659999999999989</v>
      </c>
      <c r="I72" s="25">
        <f>'Copy of Derived_Data_Quantitati'!H35</f>
        <v>15.646000000000001</v>
      </c>
      <c r="J72" s="25">
        <f>'Copy of Derived_Data_Quantitati'!I35</f>
        <v>4.500000000000004E-2</v>
      </c>
      <c r="K72" s="25">
        <f>'Copy of Derived_Data_Quantitati'!J35</f>
        <v>11.483999999999998</v>
      </c>
      <c r="L72" s="25">
        <f>'Copy of Derived_Data_Quantitati'!K35</f>
        <v>35.819099999999992</v>
      </c>
      <c r="M72" s="25">
        <f>'Copy of Derived_Data_Quantitati'!L35</f>
        <v>35.760999999999996</v>
      </c>
      <c r="N72" s="25">
        <f>'Copy of Derived_Data_Quantitati'!M35</f>
        <v>0.73640000000000017</v>
      </c>
      <c r="O72" s="25">
        <f>'Copy of Derived_Data_Quantitati'!N35</f>
        <v>3.7075600000000009</v>
      </c>
      <c r="P72" s="25">
        <f>'Copy of Derived_Data_Quantitati'!O35</f>
        <v>6.9559999999999995</v>
      </c>
      <c r="Q72" s="25">
        <f>'Copy of Derived_Data_Quantitati'!P35</f>
        <v>14.100000000000001</v>
      </c>
      <c r="R72" s="25">
        <f>'Copy of Derived_Data_Quantitati'!Q35</f>
        <v>1.081</v>
      </c>
      <c r="S72" s="25">
        <f>'Copy of Derived_Data_Quantitati'!R35</f>
        <v>2.1762999999999995</v>
      </c>
      <c r="T72" s="25">
        <f>'Copy of Derived_Data_Quantitati'!S35</f>
        <v>13.142000000000003</v>
      </c>
      <c r="U72" s="25">
        <f>'Copy of Derived_Data_Quantitati'!T35</f>
        <v>8.5316999999999972</v>
      </c>
      <c r="V72" s="25">
        <f>'Copy of Derived_Data_Quantitati'!U35</f>
        <v>2.34</v>
      </c>
      <c r="W72" s="25">
        <f>'Copy of Derived_Data_Quantitati'!V35</f>
        <v>13.805400000000002</v>
      </c>
      <c r="X72" s="25">
        <f>'Copy of Derived_Data_Quantitati'!W35</f>
        <v>0.19799999999999973</v>
      </c>
      <c r="Y72" s="25">
        <f>'Copy of Derived_Data_Quantitati'!X35</f>
        <v>8.365199999999998</v>
      </c>
      <c r="Z72" s="25">
        <f>'Copy of Derived_Data_Quantitati'!Y35</f>
        <v>90.752999999999986</v>
      </c>
      <c r="AA72" s="25">
        <f>'Copy of Derived_Data_Quantitati'!Z35</f>
        <v>2.9440599999999995</v>
      </c>
      <c r="AB72" s="25">
        <f>'Copy of Derived_Data_Quantitati'!AA35</f>
        <v>3.2000000000000001E-2</v>
      </c>
      <c r="AC72" s="25">
        <f>'Copy of Derived_Data_Quantitati'!AB35</f>
        <v>2.9600000000000009</v>
      </c>
      <c r="AD72" s="25">
        <f>'Copy of Derived_Data_Quantitati'!AC35</f>
        <v>3.3722000000000003</v>
      </c>
      <c r="AE72" s="25">
        <f>'Copy of Derived_Data_Quantitati'!AE35</f>
        <v>14.817599999999999</v>
      </c>
      <c r="AF72" s="25">
        <f>'Copy of Derived_Data_Quantitati'!AD35</f>
        <v>2.8500000000000005</v>
      </c>
      <c r="AG72" s="25">
        <f>'Copy of Derived_Data_Quantitati'!AF35</f>
        <v>9.8832000000000004</v>
      </c>
      <c r="AH72" s="25">
        <f>'Copy of Derived_Data_Quantitati'!AG35</f>
        <v>6.3079999999999998</v>
      </c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</row>
    <row r="73" spans="1:47" ht="13.2" x14ac:dyDescent="0.25">
      <c r="A73" s="102"/>
      <c r="B73" s="26" t="s">
        <v>162</v>
      </c>
      <c r="C73" s="9"/>
      <c r="D73" s="99" t="s">
        <v>1339</v>
      </c>
      <c r="E73" s="27">
        <f>'Copy of Derived_Data_Quantitati'!D30</f>
        <v>6.7875000000000005</v>
      </c>
      <c r="F73" s="27">
        <f>'Copy of Derived_Data_Quantitati'!E30</f>
        <v>0.82800000000000007</v>
      </c>
      <c r="G73" s="27" t="e">
        <f>'Copy of Derived_Data_Quantitati'!F30</f>
        <v>#VALUE!</v>
      </c>
      <c r="H73" s="27">
        <f>'Copy of Derived_Data_Quantitati'!G30</f>
        <v>6.7026000000000003</v>
      </c>
      <c r="I73" s="27" t="e">
        <f>'Copy of Derived_Data_Quantitati'!H30</f>
        <v>#VALUE!</v>
      </c>
      <c r="J73" s="27">
        <f>'Copy of Derived_Data_Quantitati'!I30</f>
        <v>0.28349999999999997</v>
      </c>
      <c r="K73" s="27">
        <f>'Copy of Derived_Data_Quantitati'!J30</f>
        <v>11.970000000000002</v>
      </c>
      <c r="L73" s="27">
        <f>'Copy of Derived_Data_Quantitati'!K30</f>
        <v>33.994</v>
      </c>
      <c r="M73" s="27">
        <f>'Copy of Derived_Data_Quantitati'!L30</f>
        <v>77.693364000000017</v>
      </c>
      <c r="N73" s="27">
        <f>'Copy of Derived_Data_Quantitati'!M30</f>
        <v>0.86499999999999999</v>
      </c>
      <c r="O73" s="27">
        <f>'Copy of Derived_Data_Quantitati'!N30</f>
        <v>6.4163999999999994</v>
      </c>
      <c r="P73" s="27">
        <f>'Copy of Derived_Data_Quantitati'!O30</f>
        <v>4.107499999999999</v>
      </c>
      <c r="Q73" s="27">
        <f>'Copy of Derived_Data_Quantitati'!P30</f>
        <v>43.698400000000007</v>
      </c>
      <c r="R73" s="27">
        <f>'Copy of Derived_Data_Quantitati'!Q30</f>
        <v>0.8279000000000003</v>
      </c>
      <c r="S73" s="27">
        <f>'Copy of Derived_Data_Quantitati'!R30</f>
        <v>6.1600000000000057E-3</v>
      </c>
      <c r="T73" s="27">
        <f>'Copy of Derived_Data_Quantitati'!S30</f>
        <v>13.864999999999998</v>
      </c>
      <c r="U73" s="27">
        <f>'Copy of Derived_Data_Quantitati'!T30</f>
        <v>13.553500000000001</v>
      </c>
      <c r="V73" s="27">
        <f>'Copy of Derived_Data_Quantitati'!U30</f>
        <v>0.46439999999999992</v>
      </c>
      <c r="W73" s="27">
        <f>'Copy of Derived_Data_Quantitati'!V30</f>
        <v>16.177</v>
      </c>
      <c r="X73" s="27">
        <f>'Copy of Derived_Data_Quantitati'!W30</f>
        <v>0.61289999999999978</v>
      </c>
      <c r="Y73" s="27">
        <f>'Copy of Derived_Data_Quantitati'!X30</f>
        <v>2.2824</v>
      </c>
      <c r="Z73" s="27">
        <f>'Copy of Derived_Data_Quantitati'!Y30</f>
        <v>201.87799999999999</v>
      </c>
      <c r="AA73" s="27">
        <f>'Copy of Derived_Data_Quantitati'!Z30</f>
        <v>3.4238399999999998</v>
      </c>
      <c r="AB73" s="27">
        <f>'Copy of Derived_Data_Quantitati'!AA30</f>
        <v>7.1000000000000008E-2</v>
      </c>
      <c r="AC73" s="27" t="e">
        <f>'Copy of Derived_Data_Quantitati'!AB30</f>
        <v>#VALUE!</v>
      </c>
      <c r="AD73" s="27">
        <f>'Copy of Derived_Data_Quantitati'!AC30</f>
        <v>2.2934999999999999</v>
      </c>
      <c r="AE73" s="27">
        <f>'Copy of Derived_Data_Quantitati'!AE30</f>
        <v>55.949100000000001</v>
      </c>
      <c r="AF73" s="27">
        <f>'Copy of Derived_Data_Quantitati'!AD30</f>
        <v>7.3019999999999996</v>
      </c>
      <c r="AG73" s="27">
        <f>'Copy of Derived_Data_Quantitati'!AF30</f>
        <v>8.1123000000000012</v>
      </c>
      <c r="AH73" s="27">
        <f>'Copy of Derived_Data_Quantitati'!AG30</f>
        <v>6.6193999999999988</v>
      </c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</row>
    <row r="74" spans="1:47" ht="13.2" x14ac:dyDescent="0.25">
      <c r="A74" s="101" t="s">
        <v>163</v>
      </c>
      <c r="B74" s="8" t="s">
        <v>78</v>
      </c>
      <c r="C74" s="9" t="s">
        <v>117</v>
      </c>
      <c r="D74" s="99" t="s">
        <v>1340</v>
      </c>
      <c r="E74" s="10">
        <v>2025</v>
      </c>
      <c r="F74" s="10">
        <v>2025</v>
      </c>
      <c r="G74" s="10">
        <v>2025</v>
      </c>
      <c r="H74" s="10">
        <v>2025</v>
      </c>
      <c r="I74" s="10">
        <v>2025</v>
      </c>
      <c r="J74" s="10">
        <v>2025</v>
      </c>
      <c r="K74" s="10">
        <v>2025</v>
      </c>
      <c r="L74" s="11">
        <v>2025</v>
      </c>
      <c r="M74" s="10">
        <v>2024</v>
      </c>
      <c r="N74" s="10">
        <v>2024</v>
      </c>
      <c r="O74" s="10">
        <v>2025</v>
      </c>
      <c r="P74" s="10">
        <v>2025</v>
      </c>
      <c r="Q74" s="10">
        <v>2025</v>
      </c>
      <c r="R74" s="10">
        <v>2024</v>
      </c>
      <c r="S74" s="10">
        <v>2024</v>
      </c>
      <c r="T74" s="10">
        <v>2024</v>
      </c>
      <c r="U74" s="10">
        <v>2024</v>
      </c>
      <c r="V74" s="10">
        <v>2024</v>
      </c>
      <c r="W74" s="10">
        <v>2024</v>
      </c>
      <c r="X74" s="10">
        <v>2025</v>
      </c>
      <c r="Y74" s="10">
        <v>2024</v>
      </c>
      <c r="Z74" s="10">
        <v>2024</v>
      </c>
      <c r="AA74" s="10">
        <v>2025</v>
      </c>
      <c r="AB74" s="10">
        <v>2024</v>
      </c>
      <c r="AC74" s="10">
        <v>2024</v>
      </c>
      <c r="AD74" s="10">
        <v>2025</v>
      </c>
      <c r="AE74" s="10">
        <v>2024</v>
      </c>
      <c r="AF74" s="10">
        <v>2025</v>
      </c>
      <c r="AG74" s="10">
        <v>2025</v>
      </c>
      <c r="AH74" s="10">
        <v>2025</v>
      </c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</row>
    <row r="75" spans="1:47" ht="13.2" x14ac:dyDescent="0.25">
      <c r="A75" s="102"/>
      <c r="B75" s="8" t="s">
        <v>80</v>
      </c>
      <c r="C75" s="9" t="s">
        <v>117</v>
      </c>
      <c r="D75" s="99" t="s">
        <v>1341</v>
      </c>
      <c r="E75" s="10">
        <v>2030</v>
      </c>
      <c r="F75" s="10">
        <v>2030</v>
      </c>
      <c r="G75" s="10">
        <v>2030</v>
      </c>
      <c r="H75" s="10">
        <v>2030</v>
      </c>
      <c r="I75" s="10">
        <v>2030</v>
      </c>
      <c r="J75" s="10">
        <v>2030</v>
      </c>
      <c r="K75" s="10">
        <v>2030</v>
      </c>
      <c r="L75" s="10">
        <v>2030</v>
      </c>
      <c r="M75" s="10">
        <v>2030</v>
      </c>
      <c r="N75" s="10">
        <v>2030</v>
      </c>
      <c r="O75" s="10">
        <v>2030</v>
      </c>
      <c r="P75" s="10">
        <v>2030</v>
      </c>
      <c r="Q75" s="10">
        <v>2030</v>
      </c>
      <c r="R75" s="10">
        <v>2030</v>
      </c>
      <c r="S75" s="10">
        <v>2030</v>
      </c>
      <c r="T75" s="10">
        <v>2030</v>
      </c>
      <c r="U75" s="10">
        <v>2030</v>
      </c>
      <c r="V75" s="10">
        <v>2030</v>
      </c>
      <c r="W75" s="10">
        <v>2030</v>
      </c>
      <c r="X75" s="10">
        <v>2030</v>
      </c>
      <c r="Y75" s="10">
        <v>2030</v>
      </c>
      <c r="Z75" s="10">
        <v>2030</v>
      </c>
      <c r="AA75" s="10">
        <v>2030</v>
      </c>
      <c r="AB75" s="10">
        <v>2030</v>
      </c>
      <c r="AC75" s="10">
        <v>2030</v>
      </c>
      <c r="AD75" s="10">
        <v>2030</v>
      </c>
      <c r="AE75" s="10">
        <v>2030</v>
      </c>
      <c r="AF75" s="10">
        <v>2030</v>
      </c>
      <c r="AG75" s="10">
        <v>2030</v>
      </c>
      <c r="AH75" s="10">
        <v>2030</v>
      </c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</row>
    <row r="76" spans="1:47" ht="13.2" x14ac:dyDescent="0.25">
      <c r="A76" s="102"/>
      <c r="B76" s="8" t="s">
        <v>82</v>
      </c>
      <c r="C76" s="9" t="s">
        <v>117</v>
      </c>
      <c r="D76" s="99" t="s">
        <v>1342</v>
      </c>
      <c r="E76" s="10">
        <v>2030</v>
      </c>
      <c r="F76" s="10">
        <v>2030</v>
      </c>
      <c r="G76" s="10">
        <v>2030</v>
      </c>
      <c r="H76" s="10">
        <v>2030</v>
      </c>
      <c r="I76" s="10">
        <v>2030</v>
      </c>
      <c r="J76" s="10">
        <v>2030</v>
      </c>
      <c r="K76" s="10">
        <v>2030</v>
      </c>
      <c r="L76" s="8">
        <v>2030</v>
      </c>
      <c r="M76" s="10">
        <v>2030</v>
      </c>
      <c r="N76" s="10">
        <v>2030</v>
      </c>
      <c r="O76" s="10">
        <v>2030</v>
      </c>
      <c r="P76" s="10">
        <v>2030</v>
      </c>
      <c r="Q76" s="10">
        <v>2030</v>
      </c>
      <c r="R76" s="10">
        <v>2030</v>
      </c>
      <c r="S76" s="10">
        <v>2030</v>
      </c>
      <c r="T76" s="10">
        <v>2030</v>
      </c>
      <c r="U76" s="10">
        <v>2030</v>
      </c>
      <c r="V76" s="10">
        <v>2030</v>
      </c>
      <c r="W76" s="10">
        <v>2030</v>
      </c>
      <c r="X76" s="10">
        <v>2040</v>
      </c>
      <c r="Y76" s="10">
        <v>2030</v>
      </c>
      <c r="Z76" s="10">
        <v>2030</v>
      </c>
      <c r="AA76" s="10">
        <v>2030</v>
      </c>
      <c r="AB76" s="10">
        <v>2030</v>
      </c>
      <c r="AC76" s="10">
        <v>2029</v>
      </c>
      <c r="AD76" s="10">
        <v>2030</v>
      </c>
      <c r="AE76" s="10">
        <v>2030</v>
      </c>
      <c r="AF76" s="10">
        <v>2030</v>
      </c>
      <c r="AG76" s="10">
        <v>2030</v>
      </c>
      <c r="AH76" s="10">
        <v>2030</v>
      </c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</row>
    <row r="77" spans="1:47" ht="13.2" x14ac:dyDescent="0.25">
      <c r="A77" s="101" t="s">
        <v>164</v>
      </c>
      <c r="B77" s="8" t="s">
        <v>165</v>
      </c>
      <c r="C77" s="9" t="s">
        <v>166</v>
      </c>
      <c r="D77" s="99" t="s">
        <v>1344</v>
      </c>
      <c r="E77" s="10">
        <v>14.5</v>
      </c>
      <c r="F77" s="10">
        <v>2.5</v>
      </c>
      <c r="G77" s="10">
        <v>14</v>
      </c>
      <c r="H77" s="10">
        <v>29.1</v>
      </c>
      <c r="I77" s="10">
        <v>20.3</v>
      </c>
      <c r="J77" s="10">
        <v>0.9</v>
      </c>
      <c r="K77" s="10">
        <v>31.9</v>
      </c>
      <c r="L77" s="10">
        <v>109.3</v>
      </c>
      <c r="M77" s="10">
        <v>132.1</v>
      </c>
      <c r="N77" s="10">
        <v>2.8</v>
      </c>
      <c r="O77" s="10">
        <v>34.4</v>
      </c>
      <c r="P77" s="10">
        <v>14.8</v>
      </c>
      <c r="Q77" s="10">
        <v>56.4</v>
      </c>
      <c r="R77" s="10">
        <v>2.2999999999999998</v>
      </c>
      <c r="S77" s="10">
        <v>5.6</v>
      </c>
      <c r="T77" s="10">
        <v>32</v>
      </c>
      <c r="U77" s="10">
        <v>21.7</v>
      </c>
      <c r="V77" s="10">
        <v>5.2</v>
      </c>
      <c r="W77" s="10">
        <v>34.6</v>
      </c>
      <c r="X77" s="10">
        <v>3</v>
      </c>
      <c r="Y77" s="10">
        <v>27</v>
      </c>
      <c r="Z77" s="10">
        <v>232.7</v>
      </c>
      <c r="AA77" s="10">
        <v>6.3</v>
      </c>
      <c r="AB77" s="10">
        <v>0.2</v>
      </c>
      <c r="AC77" s="10">
        <v>18.5</v>
      </c>
      <c r="AD77" s="10">
        <v>8.6</v>
      </c>
      <c r="AE77" s="10">
        <v>68.599999999999994</v>
      </c>
      <c r="AF77" s="10">
        <v>9.5</v>
      </c>
      <c r="AG77" s="10">
        <v>21.3</v>
      </c>
      <c r="AH77" s="10">
        <v>16.600000000000001</v>
      </c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</row>
    <row r="78" spans="1:47" ht="13.2" x14ac:dyDescent="0.25">
      <c r="A78" s="102"/>
      <c r="B78" s="8" t="s">
        <v>167</v>
      </c>
      <c r="C78" s="9" t="s">
        <v>168</v>
      </c>
      <c r="D78" s="99" t="s">
        <v>1346</v>
      </c>
      <c r="E78" s="10">
        <v>16.62</v>
      </c>
      <c r="F78" s="10">
        <v>2.77</v>
      </c>
      <c r="G78" s="10">
        <v>16.18</v>
      </c>
      <c r="H78" s="10">
        <v>33.78</v>
      </c>
      <c r="I78" s="10">
        <v>24.21</v>
      </c>
      <c r="J78" s="10">
        <v>0.96</v>
      </c>
      <c r="K78" s="10">
        <v>36.700000000000003</v>
      </c>
      <c r="L78" s="10">
        <v>131.53</v>
      </c>
      <c r="M78" s="10">
        <v>152.86000000000001</v>
      </c>
      <c r="N78" s="10">
        <v>3.13</v>
      </c>
      <c r="O78" s="10">
        <v>38.22</v>
      </c>
      <c r="P78" s="10">
        <v>16.809999999999999</v>
      </c>
      <c r="Q78" s="10">
        <v>63.1</v>
      </c>
      <c r="R78" s="10">
        <v>2.4900000000000002</v>
      </c>
      <c r="S78" s="10">
        <v>6.37</v>
      </c>
      <c r="T78" s="10">
        <v>36.69</v>
      </c>
      <c r="U78" s="10">
        <v>25.16</v>
      </c>
      <c r="V78" s="10">
        <v>6.06</v>
      </c>
      <c r="W78" s="10">
        <v>40.85</v>
      </c>
      <c r="X78" s="10">
        <v>3.39</v>
      </c>
      <c r="Y78" s="10">
        <v>32.520000000000003</v>
      </c>
      <c r="Z78" s="10">
        <v>262.38</v>
      </c>
      <c r="AA78" s="10">
        <v>7.28</v>
      </c>
      <c r="AB78" s="10">
        <v>0.26</v>
      </c>
      <c r="AC78" s="10">
        <v>21.16</v>
      </c>
      <c r="AD78" s="10">
        <v>9.69</v>
      </c>
      <c r="AE78" s="10">
        <v>80.91</v>
      </c>
      <c r="AF78" s="10">
        <v>10.79</v>
      </c>
      <c r="AG78" s="10">
        <v>25.02</v>
      </c>
      <c r="AH78" s="10">
        <v>18.61</v>
      </c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</row>
    <row r="79" spans="1:47" ht="13.2" x14ac:dyDescent="0.25">
      <c r="A79" s="97" t="s">
        <v>1239</v>
      </c>
      <c r="B79" t="s">
        <v>1240</v>
      </c>
      <c r="C79" s="9"/>
      <c r="D79" s="9"/>
      <c r="E79" s="28">
        <v>2025</v>
      </c>
      <c r="F79" s="28">
        <v>2025</v>
      </c>
      <c r="G79" s="28">
        <v>2025</v>
      </c>
      <c r="H79" s="28">
        <v>2025</v>
      </c>
      <c r="I79" s="28">
        <v>2025</v>
      </c>
      <c r="J79" s="28">
        <v>2025</v>
      </c>
      <c r="K79" s="28">
        <v>2025</v>
      </c>
      <c r="L79" s="28">
        <v>2025</v>
      </c>
      <c r="M79" s="28">
        <v>2025</v>
      </c>
      <c r="N79" s="28">
        <v>2025</v>
      </c>
      <c r="O79" s="28">
        <v>2025</v>
      </c>
      <c r="P79" s="28">
        <v>2025</v>
      </c>
      <c r="Q79" s="28">
        <v>2025</v>
      </c>
      <c r="R79" s="28">
        <v>2025</v>
      </c>
      <c r="S79" s="28">
        <v>2025</v>
      </c>
      <c r="T79" s="28">
        <v>2025</v>
      </c>
      <c r="U79" s="28">
        <v>2025</v>
      </c>
      <c r="V79" s="28">
        <v>2025</v>
      </c>
      <c r="W79" s="28">
        <v>2025</v>
      </c>
      <c r="X79" s="28">
        <v>2025</v>
      </c>
      <c r="Y79" s="28">
        <v>2025</v>
      </c>
      <c r="Z79" s="28">
        <v>2025</v>
      </c>
      <c r="AA79" s="28">
        <v>2025</v>
      </c>
      <c r="AB79" s="28">
        <v>2025</v>
      </c>
      <c r="AC79" s="28">
        <v>2025</v>
      </c>
      <c r="AD79" s="28">
        <v>2025</v>
      </c>
      <c r="AE79" s="28">
        <v>2025</v>
      </c>
      <c r="AF79" s="28">
        <v>2025</v>
      </c>
      <c r="AG79" s="28">
        <v>2025</v>
      </c>
      <c r="AH79" s="28">
        <v>2025</v>
      </c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</row>
    <row r="80" spans="1:47" ht="13.2" x14ac:dyDescent="0.25">
      <c r="A80" s="28"/>
      <c r="C80" s="9"/>
      <c r="D80" s="9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</row>
    <row r="81" spans="1:47" ht="13.2" x14ac:dyDescent="0.25">
      <c r="A81" s="28"/>
      <c r="B81" s="28"/>
      <c r="C81" s="9"/>
      <c r="D81" s="9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</row>
    <row r="82" spans="1:47" ht="13.2" x14ac:dyDescent="0.25">
      <c r="A82" s="28"/>
      <c r="B82" s="28"/>
      <c r="C82" s="9"/>
      <c r="D82" s="9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</row>
    <row r="83" spans="1:47" ht="13.2" x14ac:dyDescent="0.25">
      <c r="A83" s="29"/>
      <c r="B83" s="24"/>
      <c r="C83" s="9"/>
      <c r="D83" s="9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</row>
    <row r="84" spans="1:47" ht="13.2" x14ac:dyDescent="0.25">
      <c r="A84" s="29"/>
      <c r="B84" s="24"/>
      <c r="C84" s="9"/>
      <c r="D84" s="9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</row>
    <row r="85" spans="1:47" ht="13.2" x14ac:dyDescent="0.25">
      <c r="A85" s="29"/>
      <c r="B85" s="26"/>
      <c r="C85" s="9"/>
      <c r="D85" s="9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</row>
    <row r="86" spans="1:47" ht="13.2" x14ac:dyDescent="0.25">
      <c r="A86" s="29"/>
      <c r="B86" s="26"/>
      <c r="C86" s="9"/>
      <c r="D86" s="9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</row>
    <row r="87" spans="1:47" ht="13.2" x14ac:dyDescent="0.25">
      <c r="A87" s="29"/>
      <c r="B87" s="28"/>
      <c r="C87" s="9"/>
      <c r="D87" s="9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</row>
    <row r="88" spans="1:47" ht="13.2" x14ac:dyDescent="0.25">
      <c r="A88" s="29"/>
      <c r="B88" s="28"/>
      <c r="C88" s="9"/>
      <c r="D88" s="9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</row>
    <row r="89" spans="1:47" ht="13.2" x14ac:dyDescent="0.25">
      <c r="A89" s="29"/>
      <c r="B89" s="26"/>
      <c r="C89" s="9"/>
      <c r="D89" s="9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</row>
    <row r="90" spans="1:47" ht="13.2" x14ac:dyDescent="0.25">
      <c r="A90" s="29"/>
      <c r="B90" s="26"/>
      <c r="C90" s="9"/>
      <c r="D90" s="9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</row>
    <row r="91" spans="1:47" ht="13.2" x14ac:dyDescent="0.25">
      <c r="A91" s="28"/>
      <c r="B91" s="28"/>
      <c r="C91" s="9"/>
      <c r="D91" s="9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</row>
    <row r="92" spans="1:47" ht="13.2" x14ac:dyDescent="0.25">
      <c r="A92" s="28"/>
      <c r="B92" s="28"/>
      <c r="C92" s="9"/>
      <c r="D92" s="9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</row>
    <row r="93" spans="1:47" ht="13.2" x14ac:dyDescent="0.25">
      <c r="A93" s="28"/>
      <c r="B93" s="28"/>
      <c r="C93" s="9"/>
      <c r="D93" s="9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</row>
    <row r="94" spans="1:47" ht="13.2" x14ac:dyDescent="0.25">
      <c r="A94" s="28"/>
      <c r="B94" s="28"/>
      <c r="C94" s="9"/>
      <c r="D94" s="9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</row>
    <row r="95" spans="1:47" ht="13.2" x14ac:dyDescent="0.25">
      <c r="A95" s="28"/>
      <c r="B95" s="28"/>
      <c r="C95" s="9"/>
      <c r="D95" s="9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</row>
    <row r="96" spans="1:47" ht="13.2" x14ac:dyDescent="0.25">
      <c r="A96" s="28"/>
      <c r="B96" s="28"/>
      <c r="C96" s="9"/>
      <c r="D96" s="9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</row>
    <row r="97" spans="1:47" ht="13.2" x14ac:dyDescent="0.25">
      <c r="A97" s="28"/>
      <c r="B97" s="28"/>
      <c r="C97" s="9"/>
      <c r="D97" s="9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</row>
    <row r="98" spans="1:47" ht="13.2" x14ac:dyDescent="0.25">
      <c r="A98" s="28"/>
      <c r="B98" s="28"/>
      <c r="C98" s="9"/>
      <c r="D98" s="9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</row>
    <row r="99" spans="1:47" ht="13.2" x14ac:dyDescent="0.25">
      <c r="A99" s="28"/>
      <c r="B99" s="28"/>
      <c r="C99" s="9"/>
      <c r="D99" s="9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</row>
    <row r="100" spans="1:47" ht="13.2" x14ac:dyDescent="0.25">
      <c r="A100" s="28"/>
      <c r="B100" s="28"/>
      <c r="C100" s="9"/>
      <c r="D100" s="9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</row>
    <row r="101" spans="1:47" ht="13.2" x14ac:dyDescent="0.25">
      <c r="A101" s="28"/>
      <c r="B101" s="28"/>
      <c r="C101" s="9"/>
      <c r="D101" s="9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</row>
    <row r="102" spans="1:47" ht="13.2" x14ac:dyDescent="0.25">
      <c r="A102" s="28"/>
      <c r="B102" s="28"/>
      <c r="C102" s="9"/>
      <c r="D102" s="9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</row>
    <row r="103" spans="1:47" ht="13.2" x14ac:dyDescent="0.25">
      <c r="A103" s="28"/>
      <c r="B103" s="28"/>
      <c r="C103" s="9"/>
      <c r="D103" s="9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</row>
    <row r="104" spans="1:47" ht="13.2" x14ac:dyDescent="0.25">
      <c r="A104" s="28"/>
      <c r="B104" s="28"/>
      <c r="C104" s="9"/>
      <c r="D104" s="9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</row>
    <row r="105" spans="1:47" ht="13.2" x14ac:dyDescent="0.25">
      <c r="A105" s="28"/>
      <c r="B105" s="28"/>
      <c r="C105" s="9"/>
      <c r="D105" s="9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</row>
    <row r="106" spans="1:47" ht="13.2" x14ac:dyDescent="0.25">
      <c r="A106" s="28"/>
      <c r="B106" s="28"/>
      <c r="C106" s="9"/>
      <c r="D106" s="9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</row>
    <row r="107" spans="1:47" ht="13.2" x14ac:dyDescent="0.25">
      <c r="A107" s="28"/>
      <c r="B107" s="28"/>
      <c r="C107" s="9"/>
      <c r="D107" s="9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</row>
    <row r="108" spans="1:47" ht="13.2" x14ac:dyDescent="0.25">
      <c r="A108" s="28"/>
      <c r="B108" s="28"/>
      <c r="C108" s="9"/>
      <c r="D108" s="9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</row>
    <row r="109" spans="1:47" ht="13.2" x14ac:dyDescent="0.25">
      <c r="A109" s="28"/>
      <c r="B109" s="28"/>
      <c r="C109" s="9"/>
      <c r="D109" s="9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</row>
    <row r="110" spans="1:47" ht="13.2" x14ac:dyDescent="0.25">
      <c r="A110" s="28"/>
      <c r="B110" s="28"/>
      <c r="C110" s="9"/>
      <c r="D110" s="9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</row>
    <row r="111" spans="1:47" ht="13.2" x14ac:dyDescent="0.25">
      <c r="A111" s="28"/>
      <c r="B111" s="28"/>
      <c r="C111" s="9"/>
      <c r="D111" s="9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</row>
    <row r="112" spans="1:47" ht="13.2" x14ac:dyDescent="0.25">
      <c r="A112" s="28"/>
      <c r="B112" s="28"/>
      <c r="C112" s="9"/>
      <c r="D112" s="9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</row>
    <row r="113" spans="1:47" ht="13.2" x14ac:dyDescent="0.25">
      <c r="A113" s="28"/>
      <c r="B113" s="28"/>
      <c r="C113" s="9"/>
      <c r="D113" s="9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</row>
    <row r="114" spans="1:47" ht="13.2" x14ac:dyDescent="0.25">
      <c r="A114" s="28"/>
      <c r="B114" s="28"/>
      <c r="C114" s="9"/>
      <c r="D114" s="9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</row>
    <row r="115" spans="1:47" ht="13.2" x14ac:dyDescent="0.25">
      <c r="A115" s="28"/>
      <c r="B115" s="28"/>
      <c r="C115" s="9"/>
      <c r="D115" s="9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</row>
    <row r="116" spans="1:47" ht="13.2" x14ac:dyDescent="0.25">
      <c r="A116" s="28"/>
      <c r="B116" s="28"/>
      <c r="C116" s="9"/>
      <c r="D116" s="9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</row>
    <row r="117" spans="1:47" ht="13.2" x14ac:dyDescent="0.25">
      <c r="A117" s="28"/>
      <c r="B117" s="28"/>
      <c r="C117" s="9"/>
      <c r="D117" s="9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</row>
    <row r="118" spans="1:47" ht="13.2" x14ac:dyDescent="0.25">
      <c r="A118" s="28"/>
      <c r="B118" s="28"/>
      <c r="C118" s="9"/>
      <c r="D118" s="9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</row>
    <row r="119" spans="1:47" ht="13.2" x14ac:dyDescent="0.25">
      <c r="A119" s="28"/>
      <c r="B119" s="28"/>
      <c r="C119" s="9"/>
      <c r="D119" s="9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</row>
    <row r="120" spans="1:47" ht="13.2" x14ac:dyDescent="0.25">
      <c r="A120" s="28"/>
      <c r="B120" s="28"/>
      <c r="C120" s="9"/>
      <c r="D120" s="9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</row>
    <row r="121" spans="1:47" ht="13.2" x14ac:dyDescent="0.25">
      <c r="A121" s="28"/>
      <c r="B121" s="28"/>
      <c r="C121" s="9"/>
      <c r="D121" s="9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</row>
    <row r="122" spans="1:47" ht="13.2" x14ac:dyDescent="0.25">
      <c r="A122" s="28"/>
      <c r="B122" s="28"/>
      <c r="C122" s="9"/>
      <c r="D122" s="9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</row>
    <row r="123" spans="1:47" ht="13.2" x14ac:dyDescent="0.25">
      <c r="A123" s="28"/>
      <c r="B123" s="28"/>
      <c r="C123" s="9"/>
      <c r="D123" s="9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</row>
    <row r="124" spans="1:47" ht="13.2" x14ac:dyDescent="0.25">
      <c r="A124" s="28"/>
      <c r="B124" s="28"/>
      <c r="C124" s="9"/>
      <c r="D124" s="9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</row>
    <row r="125" spans="1:47" ht="13.2" x14ac:dyDescent="0.25">
      <c r="A125" s="28"/>
      <c r="B125" s="28"/>
      <c r="C125" s="9"/>
      <c r="D125" s="9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</row>
    <row r="126" spans="1:47" ht="13.2" x14ac:dyDescent="0.25">
      <c r="A126" s="28"/>
      <c r="B126" s="28"/>
      <c r="C126" s="9"/>
      <c r="D126" s="9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</row>
    <row r="127" spans="1:47" ht="13.2" x14ac:dyDescent="0.25">
      <c r="A127" s="28"/>
      <c r="B127" s="28"/>
      <c r="C127" s="9"/>
      <c r="D127" s="9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</row>
    <row r="128" spans="1:47" ht="13.2" x14ac:dyDescent="0.25">
      <c r="A128" s="28"/>
      <c r="B128" s="28"/>
      <c r="C128" s="9"/>
      <c r="D128" s="9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</row>
    <row r="129" spans="1:47" ht="13.2" x14ac:dyDescent="0.25">
      <c r="A129" s="28"/>
      <c r="B129" s="28"/>
      <c r="C129" s="9"/>
      <c r="D129" s="9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</row>
    <row r="130" spans="1:47" ht="13.2" x14ac:dyDescent="0.25">
      <c r="A130" s="28"/>
      <c r="B130" s="28"/>
      <c r="C130" s="9"/>
      <c r="D130" s="9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</row>
    <row r="131" spans="1:47" ht="13.2" x14ac:dyDescent="0.25">
      <c r="A131" s="28"/>
      <c r="B131" s="28"/>
      <c r="C131" s="9"/>
      <c r="D131" s="9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</row>
    <row r="132" spans="1:47" ht="13.2" x14ac:dyDescent="0.25">
      <c r="A132" s="28"/>
      <c r="B132" s="28"/>
      <c r="C132" s="9"/>
      <c r="D132" s="9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</row>
    <row r="133" spans="1:47" ht="13.2" x14ac:dyDescent="0.25">
      <c r="A133" s="28"/>
      <c r="B133" s="28"/>
      <c r="C133" s="9"/>
      <c r="D133" s="9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</row>
    <row r="134" spans="1:47" ht="13.2" x14ac:dyDescent="0.25">
      <c r="A134" s="28"/>
      <c r="B134" s="28"/>
      <c r="C134" s="9"/>
      <c r="D134" s="9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</row>
    <row r="135" spans="1:47" ht="13.2" x14ac:dyDescent="0.25">
      <c r="A135" s="28"/>
      <c r="B135" s="28"/>
      <c r="C135" s="9"/>
      <c r="D135" s="9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</row>
    <row r="136" spans="1:47" ht="13.2" x14ac:dyDescent="0.25">
      <c r="A136" s="28"/>
      <c r="B136" s="28"/>
      <c r="C136" s="9"/>
      <c r="D136" s="9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</row>
    <row r="137" spans="1:47" ht="13.2" x14ac:dyDescent="0.25">
      <c r="A137" s="28"/>
      <c r="B137" s="28"/>
      <c r="C137" s="9"/>
      <c r="D137" s="9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</row>
    <row r="138" spans="1:47" ht="13.2" x14ac:dyDescent="0.25">
      <c r="A138" s="28"/>
      <c r="B138" s="28"/>
      <c r="C138" s="9"/>
      <c r="D138" s="9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</row>
    <row r="139" spans="1:47" ht="13.2" x14ac:dyDescent="0.25">
      <c r="A139" s="28"/>
      <c r="B139" s="28"/>
      <c r="C139" s="9"/>
      <c r="D139" s="9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</row>
    <row r="140" spans="1:47" ht="13.2" x14ac:dyDescent="0.25">
      <c r="A140" s="28"/>
      <c r="B140" s="28"/>
      <c r="C140" s="9"/>
      <c r="D140" s="9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</row>
    <row r="141" spans="1:47" ht="13.2" x14ac:dyDescent="0.25">
      <c r="A141" s="28"/>
      <c r="B141" s="28"/>
      <c r="C141" s="9"/>
      <c r="D141" s="9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</row>
    <row r="142" spans="1:47" ht="13.2" x14ac:dyDescent="0.25">
      <c r="A142" s="28"/>
      <c r="B142" s="28"/>
      <c r="C142" s="9"/>
      <c r="D142" s="9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</row>
    <row r="143" spans="1:47" ht="13.2" x14ac:dyDescent="0.25">
      <c r="A143" s="28"/>
      <c r="B143" s="28"/>
      <c r="C143" s="9"/>
      <c r="D143" s="9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</row>
    <row r="144" spans="1:47" ht="13.2" x14ac:dyDescent="0.25">
      <c r="A144" s="28"/>
      <c r="B144" s="28"/>
      <c r="C144" s="9"/>
      <c r="D144" s="9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</row>
    <row r="145" spans="1:47" ht="13.2" x14ac:dyDescent="0.25">
      <c r="A145" s="28"/>
      <c r="B145" s="28"/>
      <c r="C145" s="9"/>
      <c r="D145" s="9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</row>
    <row r="146" spans="1:47" ht="13.2" x14ac:dyDescent="0.25">
      <c r="A146" s="28"/>
      <c r="B146" s="28"/>
      <c r="C146" s="9"/>
      <c r="D146" s="9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</row>
    <row r="147" spans="1:47" ht="13.2" x14ac:dyDescent="0.25">
      <c r="A147" s="28"/>
      <c r="B147" s="28"/>
      <c r="C147" s="9"/>
      <c r="D147" s="9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</row>
    <row r="148" spans="1:47" ht="13.2" x14ac:dyDescent="0.25">
      <c r="A148" s="28"/>
      <c r="B148" s="28"/>
      <c r="C148" s="9"/>
      <c r="D148" s="9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</row>
    <row r="149" spans="1:47" ht="13.2" x14ac:dyDescent="0.25">
      <c r="A149" s="28"/>
      <c r="B149" s="28"/>
      <c r="C149" s="9"/>
      <c r="D149" s="9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</row>
    <row r="150" spans="1:47" ht="13.2" x14ac:dyDescent="0.25">
      <c r="A150" s="28"/>
      <c r="B150" s="28"/>
      <c r="C150" s="9"/>
      <c r="D150" s="9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</row>
    <row r="151" spans="1:47" ht="13.2" x14ac:dyDescent="0.25">
      <c r="A151" s="28"/>
      <c r="B151" s="28"/>
      <c r="C151" s="9"/>
      <c r="D151" s="9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</row>
    <row r="152" spans="1:47" ht="13.2" x14ac:dyDescent="0.25">
      <c r="A152" s="28"/>
      <c r="B152" s="28"/>
      <c r="C152" s="9"/>
      <c r="D152" s="9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</row>
    <row r="153" spans="1:47" ht="13.2" x14ac:dyDescent="0.25">
      <c r="A153" s="28"/>
      <c r="B153" s="28"/>
      <c r="C153" s="9"/>
      <c r="D153" s="9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</row>
    <row r="154" spans="1:47" ht="13.2" x14ac:dyDescent="0.25">
      <c r="A154" s="28"/>
      <c r="B154" s="28"/>
      <c r="C154" s="9"/>
      <c r="D154" s="9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</row>
    <row r="155" spans="1:47" ht="13.2" x14ac:dyDescent="0.25">
      <c r="A155" s="28"/>
      <c r="B155" s="28"/>
      <c r="C155" s="9"/>
      <c r="D155" s="9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</row>
    <row r="156" spans="1:47" ht="13.2" x14ac:dyDescent="0.25">
      <c r="A156" s="28"/>
      <c r="B156" s="28"/>
      <c r="C156" s="9"/>
      <c r="D156" s="9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</row>
    <row r="157" spans="1:47" ht="13.2" x14ac:dyDescent="0.25">
      <c r="A157" s="28"/>
      <c r="B157" s="28"/>
      <c r="C157" s="9"/>
      <c r="D157" s="9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</row>
    <row r="158" spans="1:47" ht="13.2" x14ac:dyDescent="0.25">
      <c r="A158" s="28"/>
      <c r="B158" s="28"/>
      <c r="C158" s="9"/>
      <c r="D158" s="9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</row>
    <row r="159" spans="1:47" ht="13.2" x14ac:dyDescent="0.25">
      <c r="A159" s="28"/>
      <c r="B159" s="28"/>
      <c r="C159" s="9"/>
      <c r="D159" s="9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</row>
    <row r="160" spans="1:47" ht="13.2" x14ac:dyDescent="0.25">
      <c r="A160" s="28"/>
      <c r="B160" s="28"/>
      <c r="C160" s="9"/>
      <c r="D160" s="9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</row>
    <row r="161" spans="1:47" ht="13.2" x14ac:dyDescent="0.25">
      <c r="A161" s="28"/>
      <c r="B161" s="28"/>
      <c r="C161" s="9"/>
      <c r="D161" s="9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</row>
    <row r="162" spans="1:47" ht="13.2" x14ac:dyDescent="0.25">
      <c r="A162" s="28"/>
      <c r="B162" s="28"/>
      <c r="C162" s="9"/>
      <c r="D162" s="9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</row>
    <row r="163" spans="1:47" ht="13.2" x14ac:dyDescent="0.25">
      <c r="A163" s="28"/>
      <c r="B163" s="28"/>
      <c r="C163" s="9"/>
      <c r="D163" s="9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</row>
    <row r="164" spans="1:47" ht="13.2" x14ac:dyDescent="0.25">
      <c r="A164" s="28"/>
      <c r="B164" s="28"/>
      <c r="C164" s="9"/>
      <c r="D164" s="9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</row>
    <row r="165" spans="1:47" ht="13.2" x14ac:dyDescent="0.25">
      <c r="A165" s="28"/>
      <c r="B165" s="28"/>
      <c r="C165" s="9"/>
      <c r="D165" s="9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</row>
    <row r="166" spans="1:47" ht="13.2" x14ac:dyDescent="0.25">
      <c r="A166" s="28"/>
      <c r="B166" s="28"/>
      <c r="C166" s="9"/>
      <c r="D166" s="9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</row>
    <row r="167" spans="1:47" ht="13.2" x14ac:dyDescent="0.25">
      <c r="A167" s="28"/>
      <c r="B167" s="28"/>
      <c r="C167" s="9"/>
      <c r="D167" s="9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</row>
    <row r="168" spans="1:47" ht="13.2" x14ac:dyDescent="0.25">
      <c r="A168" s="28"/>
      <c r="B168" s="28"/>
      <c r="C168" s="9"/>
      <c r="D168" s="9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</row>
    <row r="169" spans="1:47" ht="13.2" x14ac:dyDescent="0.25">
      <c r="A169" s="28"/>
      <c r="B169" s="28"/>
      <c r="C169" s="9"/>
      <c r="D169" s="9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</row>
    <row r="170" spans="1:47" ht="13.2" x14ac:dyDescent="0.25">
      <c r="A170" s="28"/>
      <c r="B170" s="28"/>
      <c r="C170" s="9"/>
      <c r="D170" s="9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</row>
    <row r="171" spans="1:47" ht="13.2" x14ac:dyDescent="0.25">
      <c r="A171" s="28"/>
      <c r="B171" s="28"/>
      <c r="C171" s="9"/>
      <c r="D171" s="9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</row>
    <row r="172" spans="1:47" ht="13.2" x14ac:dyDescent="0.25">
      <c r="A172" s="28"/>
      <c r="B172" s="28"/>
      <c r="C172" s="9"/>
      <c r="D172" s="9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</row>
    <row r="173" spans="1:47" ht="13.2" x14ac:dyDescent="0.25">
      <c r="A173" s="28"/>
      <c r="B173" s="28"/>
      <c r="C173" s="9"/>
      <c r="D173" s="9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</row>
    <row r="174" spans="1:47" ht="13.2" x14ac:dyDescent="0.25">
      <c r="A174" s="28"/>
      <c r="B174" s="28"/>
      <c r="C174" s="9"/>
      <c r="D174" s="9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</row>
    <row r="175" spans="1:47" ht="13.2" x14ac:dyDescent="0.25">
      <c r="A175" s="28"/>
      <c r="B175" s="28"/>
      <c r="C175" s="9"/>
      <c r="D175" s="9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</row>
    <row r="176" spans="1:47" ht="13.2" x14ac:dyDescent="0.25">
      <c r="A176" s="28"/>
      <c r="B176" s="28"/>
      <c r="C176" s="9"/>
      <c r="D176" s="9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</row>
    <row r="177" spans="1:47" ht="13.2" x14ac:dyDescent="0.25">
      <c r="A177" s="28"/>
      <c r="B177" s="28"/>
      <c r="C177" s="9"/>
      <c r="D177" s="9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</row>
    <row r="178" spans="1:47" ht="13.2" x14ac:dyDescent="0.25">
      <c r="A178" s="28"/>
      <c r="B178" s="28"/>
      <c r="C178" s="9"/>
      <c r="D178" s="9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</row>
    <row r="179" spans="1:47" ht="13.2" x14ac:dyDescent="0.25">
      <c r="A179" s="28"/>
      <c r="B179" s="28"/>
      <c r="C179" s="9"/>
      <c r="D179" s="9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</row>
    <row r="180" spans="1:47" ht="13.2" x14ac:dyDescent="0.25">
      <c r="A180" s="28"/>
      <c r="B180" s="28"/>
      <c r="C180" s="9"/>
      <c r="D180" s="9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</row>
    <row r="181" spans="1:47" ht="13.2" x14ac:dyDescent="0.25">
      <c r="A181" s="28"/>
      <c r="B181" s="28"/>
      <c r="C181" s="9"/>
      <c r="D181" s="9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</row>
    <row r="182" spans="1:47" ht="13.2" x14ac:dyDescent="0.25">
      <c r="A182" s="28"/>
      <c r="B182" s="28"/>
      <c r="C182" s="9"/>
      <c r="D182" s="9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</row>
    <row r="183" spans="1:47" ht="13.2" x14ac:dyDescent="0.25">
      <c r="A183" s="28"/>
      <c r="B183" s="28"/>
      <c r="C183" s="9"/>
      <c r="D183" s="9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</row>
    <row r="184" spans="1:47" ht="13.2" x14ac:dyDescent="0.25">
      <c r="A184" s="28"/>
      <c r="B184" s="28"/>
      <c r="C184" s="9"/>
      <c r="D184" s="9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</row>
    <row r="185" spans="1:47" ht="13.2" x14ac:dyDescent="0.25">
      <c r="A185" s="28"/>
      <c r="B185" s="28"/>
      <c r="C185" s="9"/>
      <c r="D185" s="9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</row>
    <row r="186" spans="1:47" ht="13.2" x14ac:dyDescent="0.25">
      <c r="A186" s="28"/>
      <c r="B186" s="28"/>
      <c r="C186" s="9"/>
      <c r="D186" s="9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</row>
    <row r="187" spans="1:47" ht="13.2" x14ac:dyDescent="0.25">
      <c r="A187" s="28"/>
      <c r="B187" s="28"/>
      <c r="C187" s="9"/>
      <c r="D187" s="9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</row>
    <row r="188" spans="1:47" ht="13.2" x14ac:dyDescent="0.25">
      <c r="A188" s="28"/>
      <c r="B188" s="28"/>
      <c r="C188" s="9"/>
      <c r="D188" s="9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</row>
    <row r="189" spans="1:47" ht="13.2" x14ac:dyDescent="0.25">
      <c r="A189" s="28"/>
      <c r="B189" s="28"/>
      <c r="C189" s="9"/>
      <c r="D189" s="9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</row>
    <row r="190" spans="1:47" ht="13.2" x14ac:dyDescent="0.25">
      <c r="A190" s="28"/>
      <c r="B190" s="28"/>
      <c r="C190" s="9"/>
      <c r="D190" s="9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</row>
    <row r="191" spans="1:47" ht="13.2" x14ac:dyDescent="0.25">
      <c r="A191" s="28"/>
      <c r="B191" s="28"/>
      <c r="C191" s="9"/>
      <c r="D191" s="9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</row>
    <row r="192" spans="1:47" ht="13.2" x14ac:dyDescent="0.25">
      <c r="A192" s="28"/>
      <c r="B192" s="28"/>
      <c r="C192" s="9"/>
      <c r="D192" s="9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</row>
    <row r="193" spans="1:47" ht="13.2" x14ac:dyDescent="0.25">
      <c r="A193" s="28"/>
      <c r="B193" s="28"/>
      <c r="C193" s="9"/>
      <c r="D193" s="9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</row>
    <row r="194" spans="1:47" ht="13.2" x14ac:dyDescent="0.25">
      <c r="A194" s="28"/>
      <c r="B194" s="28"/>
      <c r="C194" s="9"/>
      <c r="D194" s="9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</row>
    <row r="195" spans="1:47" ht="13.2" x14ac:dyDescent="0.25">
      <c r="A195" s="28"/>
      <c r="B195" s="28"/>
      <c r="C195" s="9"/>
      <c r="D195" s="9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</row>
    <row r="196" spans="1:47" ht="13.2" x14ac:dyDescent="0.25">
      <c r="A196" s="28"/>
      <c r="B196" s="28"/>
      <c r="C196" s="9"/>
      <c r="D196" s="9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</row>
    <row r="197" spans="1:47" ht="13.2" x14ac:dyDescent="0.25">
      <c r="A197" s="28"/>
      <c r="B197" s="28"/>
      <c r="C197" s="9"/>
      <c r="D197" s="9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</row>
    <row r="198" spans="1:47" ht="13.2" x14ac:dyDescent="0.25">
      <c r="A198" s="28"/>
      <c r="B198" s="28"/>
      <c r="C198" s="9"/>
      <c r="D198" s="9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</row>
    <row r="199" spans="1:47" ht="13.2" x14ac:dyDescent="0.25">
      <c r="A199" s="28"/>
      <c r="B199" s="28"/>
      <c r="C199" s="9"/>
      <c r="D199" s="9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</row>
    <row r="200" spans="1:47" ht="13.2" x14ac:dyDescent="0.25">
      <c r="A200" s="28"/>
      <c r="B200" s="28"/>
      <c r="C200" s="9"/>
      <c r="D200" s="9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</row>
    <row r="201" spans="1:47" ht="13.2" x14ac:dyDescent="0.25">
      <c r="A201" s="28"/>
      <c r="B201" s="28"/>
      <c r="C201" s="9"/>
      <c r="D201" s="9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</row>
    <row r="202" spans="1:47" ht="13.2" x14ac:dyDescent="0.25">
      <c r="A202" s="28"/>
      <c r="B202" s="28"/>
      <c r="C202" s="9"/>
      <c r="D202" s="9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</row>
    <row r="203" spans="1:47" ht="13.2" x14ac:dyDescent="0.25">
      <c r="A203" s="28"/>
      <c r="B203" s="28"/>
      <c r="C203" s="9"/>
      <c r="D203" s="9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</row>
    <row r="204" spans="1:47" ht="13.2" x14ac:dyDescent="0.25">
      <c r="A204" s="28"/>
      <c r="B204" s="28"/>
      <c r="C204" s="9"/>
      <c r="D204" s="9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</row>
    <row r="205" spans="1:47" ht="13.2" x14ac:dyDescent="0.25">
      <c r="A205" s="28"/>
      <c r="B205" s="28"/>
      <c r="C205" s="9"/>
      <c r="D205" s="9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</row>
    <row r="206" spans="1:47" ht="13.2" x14ac:dyDescent="0.25">
      <c r="A206" s="28"/>
      <c r="B206" s="28"/>
      <c r="C206" s="9"/>
      <c r="D206" s="9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</row>
    <row r="207" spans="1:47" ht="13.2" x14ac:dyDescent="0.25">
      <c r="A207" s="28"/>
      <c r="B207" s="28"/>
      <c r="C207" s="9"/>
      <c r="D207" s="9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</row>
    <row r="208" spans="1:47" ht="13.2" x14ac:dyDescent="0.25">
      <c r="A208" s="28"/>
      <c r="B208" s="28"/>
      <c r="C208" s="9"/>
      <c r="D208" s="9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</row>
    <row r="209" spans="1:47" ht="13.2" x14ac:dyDescent="0.25">
      <c r="A209" s="28"/>
      <c r="B209" s="28"/>
      <c r="C209" s="9"/>
      <c r="D209" s="9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</row>
    <row r="210" spans="1:47" ht="13.2" x14ac:dyDescent="0.25">
      <c r="A210" s="28"/>
      <c r="B210" s="28"/>
      <c r="C210" s="9"/>
      <c r="D210" s="9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</row>
    <row r="211" spans="1:47" ht="13.2" x14ac:dyDescent="0.25">
      <c r="A211" s="28"/>
      <c r="B211" s="28"/>
      <c r="C211" s="9"/>
      <c r="D211" s="9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</row>
    <row r="212" spans="1:47" ht="13.2" x14ac:dyDescent="0.25">
      <c r="A212" s="28"/>
      <c r="B212" s="28"/>
      <c r="C212" s="9"/>
      <c r="D212" s="9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</row>
    <row r="213" spans="1:47" ht="13.2" x14ac:dyDescent="0.25">
      <c r="A213" s="28"/>
      <c r="B213" s="28"/>
      <c r="C213" s="9"/>
      <c r="D213" s="9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</row>
    <row r="214" spans="1:47" ht="13.2" x14ac:dyDescent="0.25">
      <c r="A214" s="28"/>
      <c r="B214" s="28"/>
      <c r="C214" s="9"/>
      <c r="D214" s="9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</row>
    <row r="215" spans="1:47" ht="13.2" x14ac:dyDescent="0.25">
      <c r="A215" s="28"/>
      <c r="B215" s="28"/>
      <c r="C215" s="9"/>
      <c r="D215" s="9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</row>
    <row r="216" spans="1:47" ht="13.2" x14ac:dyDescent="0.25">
      <c r="A216" s="28"/>
      <c r="B216" s="28"/>
      <c r="C216" s="9"/>
      <c r="D216" s="9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</row>
    <row r="217" spans="1:47" ht="13.2" x14ac:dyDescent="0.25">
      <c r="A217" s="28"/>
      <c r="B217" s="28"/>
      <c r="C217" s="9"/>
      <c r="D217" s="9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</row>
    <row r="218" spans="1:47" ht="13.2" x14ac:dyDescent="0.25">
      <c r="A218" s="28"/>
      <c r="B218" s="28"/>
      <c r="C218" s="9"/>
      <c r="D218" s="9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</row>
    <row r="219" spans="1:47" ht="13.2" x14ac:dyDescent="0.25">
      <c r="A219" s="28"/>
      <c r="B219" s="28"/>
      <c r="C219" s="9"/>
      <c r="D219" s="9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</row>
    <row r="220" spans="1:47" ht="13.2" x14ac:dyDescent="0.25">
      <c r="A220" s="28"/>
      <c r="B220" s="28"/>
      <c r="C220" s="9"/>
      <c r="D220" s="9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</row>
    <row r="221" spans="1:47" ht="13.2" x14ac:dyDescent="0.25">
      <c r="A221" s="28"/>
      <c r="B221" s="28"/>
      <c r="C221" s="9"/>
      <c r="D221" s="9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</row>
    <row r="222" spans="1:47" ht="13.2" x14ac:dyDescent="0.25">
      <c r="A222" s="28"/>
      <c r="B222" s="28"/>
      <c r="C222" s="9"/>
      <c r="D222" s="9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</row>
    <row r="223" spans="1:47" ht="13.2" x14ac:dyDescent="0.25">
      <c r="A223" s="28"/>
      <c r="B223" s="28"/>
      <c r="C223" s="9"/>
      <c r="D223" s="9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</row>
    <row r="224" spans="1:47" ht="13.2" x14ac:dyDescent="0.25">
      <c r="A224" s="28"/>
      <c r="B224" s="28"/>
      <c r="C224" s="9"/>
      <c r="D224" s="9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</row>
    <row r="225" spans="1:47" ht="13.2" x14ac:dyDescent="0.25">
      <c r="A225" s="28"/>
      <c r="B225" s="28"/>
      <c r="C225" s="9"/>
      <c r="D225" s="9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</row>
    <row r="226" spans="1:47" ht="13.2" x14ac:dyDescent="0.25">
      <c r="A226" s="28"/>
      <c r="B226" s="28"/>
      <c r="C226" s="9"/>
      <c r="D226" s="9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</row>
    <row r="227" spans="1:47" ht="13.2" x14ac:dyDescent="0.25">
      <c r="A227" s="28"/>
      <c r="B227" s="28"/>
      <c r="C227" s="9"/>
      <c r="D227" s="9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</row>
    <row r="228" spans="1:47" ht="13.2" x14ac:dyDescent="0.25">
      <c r="A228" s="28"/>
      <c r="B228" s="28"/>
      <c r="C228" s="9"/>
      <c r="D228" s="9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</row>
    <row r="229" spans="1:47" ht="13.2" x14ac:dyDescent="0.25">
      <c r="A229" s="28"/>
      <c r="B229" s="28"/>
      <c r="C229" s="9"/>
      <c r="D229" s="9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</row>
    <row r="230" spans="1:47" ht="13.2" x14ac:dyDescent="0.25">
      <c r="A230" s="28"/>
      <c r="B230" s="28"/>
      <c r="C230" s="9"/>
      <c r="D230" s="9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</row>
    <row r="231" spans="1:47" ht="13.2" x14ac:dyDescent="0.25">
      <c r="A231" s="28"/>
      <c r="B231" s="28"/>
      <c r="C231" s="9"/>
      <c r="D231" s="9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</row>
    <row r="232" spans="1:47" ht="13.2" x14ac:dyDescent="0.25">
      <c r="A232" s="28"/>
      <c r="B232" s="28"/>
      <c r="C232" s="9"/>
      <c r="D232" s="9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</row>
    <row r="233" spans="1:47" ht="13.2" x14ac:dyDescent="0.25">
      <c r="A233" s="28"/>
      <c r="B233" s="28"/>
      <c r="C233" s="9"/>
      <c r="D233" s="9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</row>
    <row r="234" spans="1:47" ht="13.2" x14ac:dyDescent="0.25">
      <c r="A234" s="28"/>
      <c r="B234" s="28"/>
      <c r="C234" s="9"/>
      <c r="D234" s="9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</row>
    <row r="235" spans="1:47" ht="13.2" x14ac:dyDescent="0.25">
      <c r="A235" s="28"/>
      <c r="B235" s="28"/>
      <c r="C235" s="9"/>
      <c r="D235" s="9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</row>
    <row r="236" spans="1:47" ht="13.2" x14ac:dyDescent="0.25">
      <c r="A236" s="28"/>
      <c r="B236" s="28"/>
      <c r="C236" s="9"/>
      <c r="D236" s="9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</row>
    <row r="237" spans="1:47" ht="13.2" x14ac:dyDescent="0.25">
      <c r="A237" s="28"/>
      <c r="B237" s="28"/>
      <c r="C237" s="9"/>
      <c r="D237" s="9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</row>
    <row r="238" spans="1:47" ht="13.2" x14ac:dyDescent="0.25">
      <c r="A238" s="28"/>
      <c r="B238" s="28"/>
      <c r="C238" s="9"/>
      <c r="D238" s="9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</row>
    <row r="239" spans="1:47" ht="13.2" x14ac:dyDescent="0.25">
      <c r="A239" s="28"/>
      <c r="B239" s="28"/>
      <c r="C239" s="9"/>
      <c r="D239" s="9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</row>
    <row r="240" spans="1:47" ht="13.2" x14ac:dyDescent="0.25">
      <c r="A240" s="28"/>
      <c r="B240" s="28"/>
      <c r="C240" s="9"/>
      <c r="D240" s="9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</row>
    <row r="241" spans="1:47" ht="13.2" x14ac:dyDescent="0.25">
      <c r="A241" s="28"/>
      <c r="B241" s="28"/>
      <c r="C241" s="9"/>
      <c r="D241" s="9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</row>
    <row r="242" spans="1:47" ht="13.2" x14ac:dyDescent="0.25">
      <c r="A242" s="28"/>
      <c r="B242" s="28"/>
      <c r="C242" s="9"/>
      <c r="D242" s="9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</row>
    <row r="243" spans="1:47" ht="13.2" x14ac:dyDescent="0.25">
      <c r="A243" s="28"/>
      <c r="B243" s="28"/>
      <c r="C243" s="9"/>
      <c r="D243" s="9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</row>
    <row r="244" spans="1:47" ht="13.2" x14ac:dyDescent="0.25">
      <c r="A244" s="28"/>
      <c r="B244" s="28"/>
      <c r="C244" s="9"/>
      <c r="D244" s="9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</row>
    <row r="245" spans="1:47" ht="13.2" x14ac:dyDescent="0.25">
      <c r="A245" s="28"/>
      <c r="B245" s="28"/>
      <c r="C245" s="9"/>
      <c r="D245" s="9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</row>
    <row r="246" spans="1:47" ht="13.2" x14ac:dyDescent="0.25">
      <c r="A246" s="28"/>
      <c r="B246" s="28"/>
      <c r="C246" s="9"/>
      <c r="D246" s="9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</row>
    <row r="247" spans="1:47" ht="13.2" x14ac:dyDescent="0.25">
      <c r="A247" s="28"/>
      <c r="B247" s="28"/>
      <c r="C247" s="9"/>
      <c r="D247" s="9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</row>
    <row r="248" spans="1:47" ht="13.2" x14ac:dyDescent="0.25">
      <c r="A248" s="28"/>
      <c r="B248" s="28"/>
      <c r="C248" s="9"/>
      <c r="D248" s="9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</row>
    <row r="249" spans="1:47" ht="13.2" x14ac:dyDescent="0.25">
      <c r="A249" s="28"/>
      <c r="B249" s="28"/>
      <c r="C249" s="9"/>
      <c r="D249" s="9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</row>
    <row r="250" spans="1:47" ht="13.2" x14ac:dyDescent="0.25">
      <c r="A250" s="28"/>
      <c r="B250" s="28"/>
      <c r="C250" s="9"/>
      <c r="D250" s="9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</row>
    <row r="251" spans="1:47" ht="13.2" x14ac:dyDescent="0.25">
      <c r="A251" s="28"/>
      <c r="B251" s="28"/>
      <c r="C251" s="9"/>
      <c r="D251" s="9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</row>
    <row r="252" spans="1:47" ht="13.2" x14ac:dyDescent="0.25">
      <c r="A252" s="28"/>
      <c r="B252" s="28"/>
      <c r="C252" s="9"/>
      <c r="D252" s="9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</row>
    <row r="253" spans="1:47" ht="13.2" x14ac:dyDescent="0.25">
      <c r="A253" s="28"/>
      <c r="B253" s="28"/>
      <c r="C253" s="9"/>
      <c r="D253" s="9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</row>
    <row r="254" spans="1:47" ht="13.2" x14ac:dyDescent="0.25">
      <c r="A254" s="28"/>
      <c r="B254" s="28"/>
      <c r="C254" s="9"/>
      <c r="D254" s="9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</row>
    <row r="255" spans="1:47" ht="13.2" x14ac:dyDescent="0.25">
      <c r="A255" s="28"/>
      <c r="B255" s="28"/>
      <c r="C255" s="9"/>
      <c r="D255" s="9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</row>
    <row r="256" spans="1:47" ht="13.2" x14ac:dyDescent="0.25">
      <c r="A256" s="28"/>
      <c r="B256" s="28"/>
      <c r="C256" s="9"/>
      <c r="D256" s="9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</row>
    <row r="257" spans="1:47" ht="13.2" x14ac:dyDescent="0.25">
      <c r="A257" s="28"/>
      <c r="B257" s="28"/>
      <c r="C257" s="9"/>
      <c r="D257" s="9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</row>
    <row r="258" spans="1:47" ht="13.2" x14ac:dyDescent="0.25">
      <c r="A258" s="28"/>
      <c r="B258" s="28"/>
      <c r="C258" s="9"/>
      <c r="D258" s="9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</row>
    <row r="259" spans="1:47" ht="13.2" x14ac:dyDescent="0.25">
      <c r="A259" s="28"/>
      <c r="B259" s="28"/>
      <c r="C259" s="9"/>
      <c r="D259" s="9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</row>
    <row r="260" spans="1:47" ht="13.2" x14ac:dyDescent="0.25">
      <c r="A260" s="28"/>
      <c r="B260" s="28"/>
      <c r="C260" s="9"/>
      <c r="D260" s="9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</row>
    <row r="261" spans="1:47" ht="13.2" x14ac:dyDescent="0.25">
      <c r="A261" s="28"/>
      <c r="B261" s="28"/>
      <c r="C261" s="9"/>
      <c r="D261" s="9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</row>
    <row r="262" spans="1:47" ht="13.2" x14ac:dyDescent="0.25">
      <c r="A262" s="28"/>
      <c r="B262" s="28"/>
      <c r="C262" s="9"/>
      <c r="D262" s="9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</row>
    <row r="263" spans="1:47" ht="13.2" x14ac:dyDescent="0.25">
      <c r="A263" s="28"/>
      <c r="B263" s="28"/>
      <c r="C263" s="9"/>
      <c r="D263" s="9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</row>
    <row r="264" spans="1:47" ht="13.2" x14ac:dyDescent="0.25">
      <c r="A264" s="28"/>
      <c r="B264" s="28"/>
      <c r="C264" s="9"/>
      <c r="D264" s="9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</row>
    <row r="265" spans="1:47" ht="13.2" x14ac:dyDescent="0.25">
      <c r="A265" s="28"/>
      <c r="B265" s="28"/>
      <c r="C265" s="9"/>
      <c r="D265" s="9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</row>
    <row r="266" spans="1:47" ht="13.2" x14ac:dyDescent="0.25">
      <c r="A266" s="28"/>
      <c r="B266" s="28"/>
      <c r="C266" s="9"/>
      <c r="D266" s="9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</row>
    <row r="267" spans="1:47" ht="13.2" x14ac:dyDescent="0.25">
      <c r="A267" s="28"/>
      <c r="B267" s="28"/>
      <c r="C267" s="9"/>
      <c r="D267" s="9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</row>
    <row r="268" spans="1:47" ht="13.2" x14ac:dyDescent="0.25">
      <c r="A268" s="28"/>
      <c r="B268" s="28"/>
      <c r="C268" s="9"/>
      <c r="D268" s="9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</row>
    <row r="269" spans="1:47" ht="13.2" x14ac:dyDescent="0.25">
      <c r="A269" s="28"/>
      <c r="B269" s="28"/>
      <c r="C269" s="9"/>
      <c r="D269" s="9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</row>
    <row r="270" spans="1:47" ht="13.2" x14ac:dyDescent="0.25">
      <c r="A270" s="28"/>
      <c r="B270" s="28"/>
      <c r="C270" s="9"/>
      <c r="D270" s="9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</row>
    <row r="271" spans="1:47" ht="13.2" x14ac:dyDescent="0.25">
      <c r="A271" s="28"/>
      <c r="B271" s="28"/>
      <c r="C271" s="9"/>
      <c r="D271" s="9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</row>
    <row r="272" spans="1:47" ht="13.2" x14ac:dyDescent="0.25">
      <c r="A272" s="28"/>
      <c r="B272" s="28"/>
      <c r="C272" s="9"/>
      <c r="D272" s="9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</row>
    <row r="273" spans="1:47" ht="13.2" x14ac:dyDescent="0.25">
      <c r="A273" s="28"/>
      <c r="B273" s="28"/>
      <c r="C273" s="9"/>
      <c r="D273" s="9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</row>
    <row r="274" spans="1:47" ht="13.2" x14ac:dyDescent="0.25">
      <c r="A274" s="28"/>
      <c r="B274" s="28"/>
      <c r="C274" s="9"/>
      <c r="D274" s="9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</row>
    <row r="275" spans="1:47" ht="13.2" x14ac:dyDescent="0.25">
      <c r="A275" s="28"/>
      <c r="B275" s="28"/>
      <c r="C275" s="9"/>
      <c r="D275" s="9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</row>
    <row r="276" spans="1:47" ht="13.2" x14ac:dyDescent="0.25">
      <c r="A276" s="28"/>
      <c r="B276" s="28"/>
      <c r="C276" s="9"/>
      <c r="D276" s="9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</row>
    <row r="277" spans="1:47" ht="13.2" x14ac:dyDescent="0.25">
      <c r="A277" s="28"/>
      <c r="B277" s="28"/>
      <c r="C277" s="9"/>
      <c r="D277" s="9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</row>
    <row r="278" spans="1:47" ht="13.2" x14ac:dyDescent="0.25">
      <c r="A278" s="28"/>
      <c r="B278" s="28"/>
      <c r="C278" s="9"/>
      <c r="D278" s="9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</row>
    <row r="279" spans="1:47" ht="13.2" x14ac:dyDescent="0.25">
      <c r="A279" s="28"/>
      <c r="B279" s="28"/>
      <c r="C279" s="9"/>
      <c r="D279" s="9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</row>
    <row r="280" spans="1:47" ht="13.2" x14ac:dyDescent="0.25">
      <c r="A280" s="28"/>
      <c r="B280" s="28"/>
      <c r="C280" s="9"/>
      <c r="D280" s="9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</row>
    <row r="281" spans="1:47" ht="13.2" x14ac:dyDescent="0.25">
      <c r="A281" s="28"/>
      <c r="B281" s="28"/>
      <c r="C281" s="9"/>
      <c r="D281" s="9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</row>
    <row r="282" spans="1:47" ht="13.2" x14ac:dyDescent="0.25">
      <c r="A282" s="28"/>
      <c r="B282" s="28"/>
      <c r="C282" s="9"/>
      <c r="D282" s="9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</row>
    <row r="283" spans="1:47" ht="13.2" x14ac:dyDescent="0.25">
      <c r="A283" s="28"/>
      <c r="B283" s="28"/>
      <c r="C283" s="9"/>
      <c r="D283" s="9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</row>
    <row r="284" spans="1:47" ht="13.2" x14ac:dyDescent="0.25">
      <c r="A284" s="28"/>
      <c r="B284" s="28"/>
      <c r="C284" s="9"/>
      <c r="D284" s="9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</row>
    <row r="285" spans="1:47" ht="13.2" x14ac:dyDescent="0.25">
      <c r="A285" s="28"/>
      <c r="B285" s="28"/>
      <c r="C285" s="9"/>
      <c r="D285" s="9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</row>
    <row r="286" spans="1:47" ht="13.2" x14ac:dyDescent="0.25">
      <c r="A286" s="28"/>
      <c r="B286" s="28"/>
      <c r="C286" s="9"/>
      <c r="D286" s="9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</row>
    <row r="287" spans="1:47" ht="13.2" x14ac:dyDescent="0.25">
      <c r="A287" s="28"/>
      <c r="B287" s="28"/>
      <c r="C287" s="9"/>
      <c r="D287" s="9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</row>
    <row r="288" spans="1:47" ht="13.2" x14ac:dyDescent="0.25">
      <c r="A288" s="28"/>
      <c r="B288" s="28"/>
      <c r="C288" s="9"/>
      <c r="D288" s="9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</row>
    <row r="289" spans="1:47" ht="13.2" x14ac:dyDescent="0.25">
      <c r="A289" s="28"/>
      <c r="B289" s="28"/>
      <c r="C289" s="9"/>
      <c r="D289" s="9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</row>
    <row r="290" spans="1:47" ht="13.2" x14ac:dyDescent="0.25">
      <c r="A290" s="28"/>
      <c r="B290" s="28"/>
      <c r="C290" s="9"/>
      <c r="D290" s="9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</row>
    <row r="291" spans="1:47" ht="13.2" x14ac:dyDescent="0.25">
      <c r="A291" s="28"/>
      <c r="B291" s="28"/>
      <c r="C291" s="9"/>
      <c r="D291" s="9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</row>
    <row r="292" spans="1:47" ht="13.2" x14ac:dyDescent="0.25">
      <c r="A292" s="28"/>
      <c r="B292" s="28"/>
      <c r="C292" s="9"/>
      <c r="D292" s="9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</row>
    <row r="293" spans="1:47" ht="13.2" x14ac:dyDescent="0.25">
      <c r="A293" s="28"/>
      <c r="B293" s="28"/>
      <c r="C293" s="9"/>
      <c r="D293" s="9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</row>
    <row r="294" spans="1:47" ht="13.2" x14ac:dyDescent="0.25">
      <c r="A294" s="28"/>
      <c r="B294" s="28"/>
      <c r="C294" s="9"/>
      <c r="D294" s="9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</row>
    <row r="295" spans="1:47" ht="13.2" x14ac:dyDescent="0.25">
      <c r="A295" s="28"/>
      <c r="B295" s="28"/>
      <c r="C295" s="9"/>
      <c r="D295" s="9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</row>
    <row r="296" spans="1:47" ht="13.2" x14ac:dyDescent="0.25">
      <c r="A296" s="28"/>
      <c r="B296" s="28"/>
      <c r="C296" s="9"/>
      <c r="D296" s="9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</row>
    <row r="297" spans="1:47" ht="13.2" x14ac:dyDescent="0.25">
      <c r="A297" s="28"/>
      <c r="B297" s="28"/>
      <c r="C297" s="9"/>
      <c r="D297" s="9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</row>
    <row r="298" spans="1:47" ht="13.2" x14ac:dyDescent="0.25">
      <c r="A298" s="28"/>
      <c r="B298" s="28"/>
      <c r="C298" s="9"/>
      <c r="D298" s="9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</row>
    <row r="299" spans="1:47" ht="13.2" x14ac:dyDescent="0.25">
      <c r="A299" s="28"/>
      <c r="B299" s="28"/>
      <c r="C299" s="9"/>
      <c r="D299" s="9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</row>
    <row r="300" spans="1:47" ht="13.2" x14ac:dyDescent="0.25">
      <c r="A300" s="28"/>
      <c r="B300" s="28"/>
      <c r="C300" s="9"/>
      <c r="D300" s="9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</row>
    <row r="301" spans="1:47" ht="13.2" x14ac:dyDescent="0.25">
      <c r="A301" s="28"/>
      <c r="B301" s="28"/>
      <c r="C301" s="9"/>
      <c r="D301" s="9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</row>
    <row r="302" spans="1:47" ht="13.2" x14ac:dyDescent="0.25">
      <c r="A302" s="28"/>
      <c r="B302" s="28"/>
      <c r="C302" s="9"/>
      <c r="D302" s="9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</row>
    <row r="303" spans="1:47" ht="13.2" x14ac:dyDescent="0.25">
      <c r="A303" s="28"/>
      <c r="B303" s="28"/>
      <c r="C303" s="9"/>
      <c r="D303" s="9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</row>
    <row r="304" spans="1:47" ht="13.2" x14ac:dyDescent="0.25">
      <c r="A304" s="28"/>
      <c r="B304" s="28"/>
      <c r="C304" s="9"/>
      <c r="D304" s="9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</row>
    <row r="305" spans="1:47" ht="13.2" x14ac:dyDescent="0.25">
      <c r="A305" s="28"/>
      <c r="B305" s="28"/>
      <c r="C305" s="9"/>
      <c r="D305" s="9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</row>
    <row r="306" spans="1:47" ht="13.2" x14ac:dyDescent="0.25">
      <c r="A306" s="28"/>
      <c r="B306" s="28"/>
      <c r="C306" s="9"/>
      <c r="D306" s="9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</row>
    <row r="307" spans="1:47" ht="13.2" x14ac:dyDescent="0.25">
      <c r="A307" s="28"/>
      <c r="B307" s="28"/>
      <c r="C307" s="9"/>
      <c r="D307" s="9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</row>
    <row r="308" spans="1:47" ht="13.2" x14ac:dyDescent="0.25">
      <c r="A308" s="28"/>
      <c r="B308" s="28"/>
      <c r="C308" s="9"/>
      <c r="D308" s="9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</row>
    <row r="309" spans="1:47" ht="13.2" x14ac:dyDescent="0.25">
      <c r="A309" s="28"/>
      <c r="B309" s="28"/>
      <c r="C309" s="9"/>
      <c r="D309" s="9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</row>
    <row r="310" spans="1:47" ht="13.2" x14ac:dyDescent="0.25">
      <c r="A310" s="28"/>
      <c r="B310" s="28"/>
      <c r="C310" s="9"/>
      <c r="D310" s="9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</row>
    <row r="311" spans="1:47" ht="13.2" x14ac:dyDescent="0.25">
      <c r="A311" s="28"/>
      <c r="B311" s="28"/>
      <c r="C311" s="9"/>
      <c r="D311" s="9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</row>
    <row r="312" spans="1:47" ht="13.2" x14ac:dyDescent="0.25">
      <c r="A312" s="28"/>
      <c r="B312" s="28"/>
      <c r="C312" s="9"/>
      <c r="D312" s="9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</row>
    <row r="313" spans="1:47" ht="13.2" x14ac:dyDescent="0.25">
      <c r="A313" s="28"/>
      <c r="B313" s="28"/>
      <c r="C313" s="9"/>
      <c r="D313" s="9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</row>
    <row r="314" spans="1:47" ht="13.2" x14ac:dyDescent="0.25">
      <c r="A314" s="28"/>
      <c r="B314" s="28"/>
      <c r="C314" s="9"/>
      <c r="D314" s="9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</row>
    <row r="315" spans="1:47" ht="13.2" x14ac:dyDescent="0.25">
      <c r="A315" s="28"/>
      <c r="B315" s="28"/>
      <c r="C315" s="9"/>
      <c r="D315" s="9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</row>
    <row r="316" spans="1:47" ht="13.2" x14ac:dyDescent="0.25">
      <c r="A316" s="28"/>
      <c r="B316" s="28"/>
      <c r="C316" s="9"/>
      <c r="D316" s="9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</row>
    <row r="317" spans="1:47" ht="13.2" x14ac:dyDescent="0.25">
      <c r="A317" s="28"/>
      <c r="B317" s="28"/>
      <c r="C317" s="9"/>
      <c r="D317" s="9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</row>
    <row r="318" spans="1:47" ht="13.2" x14ac:dyDescent="0.25">
      <c r="A318" s="28"/>
      <c r="B318" s="28"/>
      <c r="C318" s="9"/>
      <c r="D318" s="9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</row>
    <row r="319" spans="1:47" ht="13.2" x14ac:dyDescent="0.25">
      <c r="A319" s="28"/>
      <c r="B319" s="28"/>
      <c r="C319" s="9"/>
      <c r="D319" s="9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</row>
    <row r="320" spans="1:47" ht="13.2" x14ac:dyDescent="0.25">
      <c r="A320" s="28"/>
      <c r="B320" s="28"/>
      <c r="C320" s="9"/>
      <c r="D320" s="9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</row>
    <row r="321" spans="1:47" ht="13.2" x14ac:dyDescent="0.25">
      <c r="A321" s="28"/>
      <c r="B321" s="28"/>
      <c r="C321" s="9"/>
      <c r="D321" s="9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</row>
    <row r="322" spans="1:47" ht="13.2" x14ac:dyDescent="0.25">
      <c r="A322" s="28"/>
      <c r="B322" s="28"/>
      <c r="C322" s="9"/>
      <c r="D322" s="9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</row>
    <row r="323" spans="1:47" ht="13.2" x14ac:dyDescent="0.25">
      <c r="A323" s="28"/>
      <c r="B323" s="28"/>
      <c r="C323" s="9"/>
      <c r="D323" s="9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</row>
    <row r="324" spans="1:47" ht="13.2" x14ac:dyDescent="0.25">
      <c r="A324" s="28"/>
      <c r="B324" s="28"/>
      <c r="C324" s="9"/>
      <c r="D324" s="9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</row>
    <row r="325" spans="1:47" ht="13.2" x14ac:dyDescent="0.25">
      <c r="A325" s="28"/>
      <c r="B325" s="28"/>
      <c r="C325" s="9"/>
      <c r="D325" s="9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</row>
    <row r="326" spans="1:47" ht="13.2" x14ac:dyDescent="0.25">
      <c r="A326" s="28"/>
      <c r="B326" s="28"/>
      <c r="C326" s="9"/>
      <c r="D326" s="9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</row>
    <row r="327" spans="1:47" ht="13.2" x14ac:dyDescent="0.25">
      <c r="A327" s="28"/>
      <c r="B327" s="28"/>
      <c r="C327" s="9"/>
      <c r="D327" s="9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</row>
    <row r="328" spans="1:47" ht="13.2" x14ac:dyDescent="0.25">
      <c r="A328" s="28"/>
      <c r="B328" s="28"/>
      <c r="C328" s="9"/>
      <c r="D328" s="9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</row>
    <row r="329" spans="1:47" ht="13.2" x14ac:dyDescent="0.25">
      <c r="A329" s="28"/>
      <c r="B329" s="28"/>
      <c r="C329" s="9"/>
      <c r="D329" s="9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</row>
    <row r="330" spans="1:47" ht="13.2" x14ac:dyDescent="0.25">
      <c r="A330" s="28"/>
      <c r="B330" s="28"/>
      <c r="C330" s="9"/>
      <c r="D330" s="9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</row>
    <row r="331" spans="1:47" ht="13.2" x14ac:dyDescent="0.25">
      <c r="A331" s="28"/>
      <c r="B331" s="28"/>
      <c r="C331" s="9"/>
      <c r="D331" s="9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</row>
    <row r="332" spans="1:47" ht="13.2" x14ac:dyDescent="0.25">
      <c r="A332" s="28"/>
      <c r="B332" s="28"/>
      <c r="C332" s="9"/>
      <c r="D332" s="9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</row>
    <row r="333" spans="1:47" ht="13.2" x14ac:dyDescent="0.25">
      <c r="A333" s="28"/>
      <c r="B333" s="28"/>
      <c r="C333" s="9"/>
      <c r="D333" s="9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</row>
    <row r="334" spans="1:47" ht="13.2" x14ac:dyDescent="0.25">
      <c r="A334" s="28"/>
      <c r="B334" s="28"/>
      <c r="C334" s="9"/>
      <c r="D334" s="9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</row>
    <row r="335" spans="1:47" ht="13.2" x14ac:dyDescent="0.25">
      <c r="A335" s="28"/>
      <c r="B335" s="28"/>
      <c r="C335" s="9"/>
      <c r="D335" s="9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</row>
    <row r="336" spans="1:47" ht="13.2" x14ac:dyDescent="0.25">
      <c r="A336" s="28"/>
      <c r="B336" s="28"/>
      <c r="C336" s="9"/>
      <c r="D336" s="9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</row>
    <row r="337" spans="1:47" ht="13.2" x14ac:dyDescent="0.25">
      <c r="A337" s="28"/>
      <c r="B337" s="28"/>
      <c r="C337" s="9"/>
      <c r="D337" s="9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</row>
    <row r="338" spans="1:47" ht="13.2" x14ac:dyDescent="0.25">
      <c r="A338" s="28"/>
      <c r="B338" s="28"/>
      <c r="C338" s="9"/>
      <c r="D338" s="9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</row>
    <row r="339" spans="1:47" ht="13.2" x14ac:dyDescent="0.25">
      <c r="A339" s="28"/>
      <c r="B339" s="28"/>
      <c r="C339" s="9"/>
      <c r="D339" s="9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</row>
    <row r="340" spans="1:47" ht="13.2" x14ac:dyDescent="0.25">
      <c r="A340" s="28"/>
      <c r="B340" s="28"/>
      <c r="C340" s="9"/>
      <c r="D340" s="9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</row>
    <row r="341" spans="1:47" ht="13.2" x14ac:dyDescent="0.25">
      <c r="A341" s="28"/>
      <c r="B341" s="28"/>
      <c r="C341" s="9"/>
      <c r="D341" s="9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</row>
    <row r="342" spans="1:47" ht="13.2" x14ac:dyDescent="0.25">
      <c r="A342" s="28"/>
      <c r="B342" s="28"/>
      <c r="C342" s="9"/>
      <c r="D342" s="9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</row>
    <row r="343" spans="1:47" ht="13.2" x14ac:dyDescent="0.25">
      <c r="A343" s="28"/>
      <c r="B343" s="28"/>
      <c r="C343" s="9"/>
      <c r="D343" s="9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</row>
    <row r="344" spans="1:47" ht="13.2" x14ac:dyDescent="0.25">
      <c r="A344" s="28"/>
      <c r="B344" s="28"/>
      <c r="C344" s="9"/>
      <c r="D344" s="9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</row>
    <row r="345" spans="1:47" ht="13.2" x14ac:dyDescent="0.25">
      <c r="A345" s="28"/>
      <c r="B345" s="28"/>
      <c r="C345" s="9"/>
      <c r="D345" s="9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</row>
    <row r="346" spans="1:47" ht="13.2" x14ac:dyDescent="0.25">
      <c r="A346" s="28"/>
      <c r="B346" s="28"/>
      <c r="C346" s="9"/>
      <c r="D346" s="9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</row>
    <row r="347" spans="1:47" ht="13.2" x14ac:dyDescent="0.25">
      <c r="A347" s="28"/>
      <c r="B347" s="28"/>
      <c r="C347" s="9"/>
      <c r="D347" s="9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</row>
    <row r="348" spans="1:47" ht="13.2" x14ac:dyDescent="0.25">
      <c r="A348" s="28"/>
      <c r="B348" s="28"/>
      <c r="C348" s="9"/>
      <c r="D348" s="9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</row>
    <row r="349" spans="1:47" ht="13.2" x14ac:dyDescent="0.25">
      <c r="A349" s="28"/>
      <c r="B349" s="28"/>
      <c r="C349" s="9"/>
      <c r="D349" s="9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</row>
    <row r="350" spans="1:47" ht="13.2" x14ac:dyDescent="0.25">
      <c r="A350" s="28"/>
      <c r="B350" s="28"/>
      <c r="C350" s="9"/>
      <c r="D350" s="9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</row>
    <row r="351" spans="1:47" ht="13.2" x14ac:dyDescent="0.25">
      <c r="A351" s="28"/>
      <c r="B351" s="28"/>
      <c r="C351" s="9"/>
      <c r="D351" s="9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</row>
    <row r="352" spans="1:47" ht="13.2" x14ac:dyDescent="0.25">
      <c r="A352" s="28"/>
      <c r="B352" s="28"/>
      <c r="C352" s="9"/>
      <c r="D352" s="9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</row>
    <row r="353" spans="1:47" ht="13.2" x14ac:dyDescent="0.25">
      <c r="A353" s="28"/>
      <c r="B353" s="28"/>
      <c r="C353" s="9"/>
      <c r="D353" s="9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</row>
    <row r="354" spans="1:47" ht="13.2" x14ac:dyDescent="0.25">
      <c r="A354" s="28"/>
      <c r="B354" s="28"/>
      <c r="C354" s="9"/>
      <c r="D354" s="9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</row>
    <row r="355" spans="1:47" ht="13.2" x14ac:dyDescent="0.25">
      <c r="A355" s="28"/>
      <c r="B355" s="28"/>
      <c r="C355" s="9"/>
      <c r="D355" s="9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</row>
    <row r="356" spans="1:47" ht="13.2" x14ac:dyDescent="0.25">
      <c r="A356" s="28"/>
      <c r="B356" s="28"/>
      <c r="C356" s="9"/>
      <c r="D356" s="9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</row>
    <row r="357" spans="1:47" ht="13.2" x14ac:dyDescent="0.25">
      <c r="A357" s="28"/>
      <c r="B357" s="28"/>
      <c r="C357" s="9"/>
      <c r="D357" s="9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</row>
    <row r="358" spans="1:47" ht="13.2" x14ac:dyDescent="0.25">
      <c r="A358" s="28"/>
      <c r="B358" s="28"/>
      <c r="C358" s="9"/>
      <c r="D358" s="9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</row>
    <row r="359" spans="1:47" ht="13.2" x14ac:dyDescent="0.25">
      <c r="A359" s="28"/>
      <c r="B359" s="28"/>
      <c r="C359" s="9"/>
      <c r="D359" s="9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</row>
    <row r="360" spans="1:47" ht="13.2" x14ac:dyDescent="0.25">
      <c r="A360" s="28"/>
      <c r="B360" s="28"/>
      <c r="C360" s="9"/>
      <c r="D360" s="9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</row>
    <row r="361" spans="1:47" ht="13.2" x14ac:dyDescent="0.25">
      <c r="A361" s="28"/>
      <c r="B361" s="28"/>
      <c r="C361" s="9"/>
      <c r="D361" s="9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</row>
    <row r="362" spans="1:47" ht="13.2" x14ac:dyDescent="0.25">
      <c r="A362" s="28"/>
      <c r="B362" s="28"/>
      <c r="C362" s="9"/>
      <c r="D362" s="9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</row>
    <row r="363" spans="1:47" ht="13.2" x14ac:dyDescent="0.25">
      <c r="A363" s="28"/>
      <c r="B363" s="28"/>
      <c r="C363" s="9"/>
      <c r="D363" s="9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</row>
    <row r="364" spans="1:47" ht="13.2" x14ac:dyDescent="0.25">
      <c r="A364" s="28"/>
      <c r="B364" s="28"/>
      <c r="C364" s="9"/>
      <c r="D364" s="9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</row>
    <row r="365" spans="1:47" ht="13.2" x14ac:dyDescent="0.25">
      <c r="A365" s="28"/>
      <c r="B365" s="28"/>
      <c r="C365" s="9"/>
      <c r="D365" s="9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</row>
    <row r="366" spans="1:47" ht="13.2" x14ac:dyDescent="0.25">
      <c r="A366" s="28"/>
      <c r="B366" s="28"/>
      <c r="C366" s="9"/>
      <c r="D366" s="9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</row>
    <row r="367" spans="1:47" ht="13.2" x14ac:dyDescent="0.25">
      <c r="A367" s="28"/>
      <c r="B367" s="28"/>
      <c r="C367" s="9"/>
      <c r="D367" s="9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</row>
    <row r="368" spans="1:47" ht="13.2" x14ac:dyDescent="0.25">
      <c r="A368" s="28"/>
      <c r="B368" s="28"/>
      <c r="C368" s="9"/>
      <c r="D368" s="9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</row>
    <row r="369" spans="1:47" ht="13.2" x14ac:dyDescent="0.25">
      <c r="A369" s="28"/>
      <c r="B369" s="28"/>
      <c r="C369" s="9"/>
      <c r="D369" s="9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</row>
    <row r="370" spans="1:47" ht="13.2" x14ac:dyDescent="0.25">
      <c r="A370" s="28"/>
      <c r="B370" s="28"/>
      <c r="C370" s="9"/>
      <c r="D370" s="9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</row>
    <row r="371" spans="1:47" ht="13.2" x14ac:dyDescent="0.25">
      <c r="A371" s="28"/>
      <c r="B371" s="28"/>
      <c r="C371" s="9"/>
      <c r="D371" s="9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</row>
    <row r="372" spans="1:47" ht="13.2" x14ac:dyDescent="0.25">
      <c r="A372" s="28"/>
      <c r="B372" s="28"/>
      <c r="C372" s="9"/>
      <c r="D372" s="9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</row>
    <row r="373" spans="1:47" ht="13.2" x14ac:dyDescent="0.25">
      <c r="A373" s="28"/>
      <c r="B373" s="28"/>
      <c r="C373" s="9"/>
      <c r="D373" s="9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</row>
    <row r="374" spans="1:47" ht="13.2" x14ac:dyDescent="0.25">
      <c r="A374" s="28"/>
      <c r="B374" s="28"/>
      <c r="C374" s="9"/>
      <c r="D374" s="9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</row>
    <row r="375" spans="1:47" ht="13.2" x14ac:dyDescent="0.25">
      <c r="A375" s="28"/>
      <c r="B375" s="28"/>
      <c r="C375" s="9"/>
      <c r="D375" s="9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</row>
    <row r="376" spans="1:47" ht="13.2" x14ac:dyDescent="0.25">
      <c r="A376" s="28"/>
      <c r="B376" s="28"/>
      <c r="C376" s="9"/>
      <c r="D376" s="9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</row>
    <row r="377" spans="1:47" ht="13.2" x14ac:dyDescent="0.25">
      <c r="A377" s="28"/>
      <c r="B377" s="28"/>
      <c r="C377" s="9"/>
      <c r="D377" s="9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</row>
    <row r="378" spans="1:47" ht="13.2" x14ac:dyDescent="0.25">
      <c r="A378" s="28"/>
      <c r="B378" s="28"/>
      <c r="C378" s="9"/>
      <c r="D378" s="9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</row>
    <row r="379" spans="1:47" ht="13.2" x14ac:dyDescent="0.25">
      <c r="A379" s="28"/>
      <c r="B379" s="28"/>
      <c r="C379" s="9"/>
      <c r="D379" s="9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</row>
    <row r="380" spans="1:47" ht="13.2" x14ac:dyDescent="0.25">
      <c r="A380" s="28"/>
      <c r="B380" s="28"/>
      <c r="C380" s="9"/>
      <c r="D380" s="9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</row>
    <row r="381" spans="1:47" ht="13.2" x14ac:dyDescent="0.25">
      <c r="A381" s="28"/>
      <c r="B381" s="28"/>
      <c r="C381" s="9"/>
      <c r="D381" s="9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</row>
    <row r="382" spans="1:47" ht="13.2" x14ac:dyDescent="0.25">
      <c r="A382" s="28"/>
      <c r="B382" s="28"/>
      <c r="C382" s="9"/>
      <c r="D382" s="9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</row>
    <row r="383" spans="1:47" ht="13.2" x14ac:dyDescent="0.25">
      <c r="A383" s="28"/>
      <c r="B383" s="28"/>
      <c r="C383" s="9"/>
      <c r="D383" s="9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</row>
    <row r="384" spans="1:47" ht="13.2" x14ac:dyDescent="0.25">
      <c r="A384" s="28"/>
      <c r="B384" s="28"/>
      <c r="C384" s="9"/>
      <c r="D384" s="9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</row>
    <row r="385" spans="1:47" ht="13.2" x14ac:dyDescent="0.25">
      <c r="A385" s="28"/>
      <c r="B385" s="28"/>
      <c r="C385" s="9"/>
      <c r="D385" s="9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</row>
    <row r="386" spans="1:47" ht="13.2" x14ac:dyDescent="0.25">
      <c r="A386" s="28"/>
      <c r="B386" s="28"/>
      <c r="C386" s="9"/>
      <c r="D386" s="9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</row>
    <row r="387" spans="1:47" ht="13.2" x14ac:dyDescent="0.25">
      <c r="A387" s="28"/>
      <c r="B387" s="28"/>
      <c r="C387" s="9"/>
      <c r="D387" s="9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</row>
    <row r="388" spans="1:47" ht="13.2" x14ac:dyDescent="0.25">
      <c r="A388" s="28"/>
      <c r="B388" s="28"/>
      <c r="C388" s="9"/>
      <c r="D388" s="9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</row>
    <row r="389" spans="1:47" ht="13.2" x14ac:dyDescent="0.25">
      <c r="A389" s="28"/>
      <c r="B389" s="28"/>
      <c r="C389" s="9"/>
      <c r="D389" s="9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</row>
    <row r="390" spans="1:47" ht="13.2" x14ac:dyDescent="0.25">
      <c r="A390" s="28"/>
      <c r="B390" s="28"/>
      <c r="C390" s="9"/>
      <c r="D390" s="9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</row>
    <row r="391" spans="1:47" ht="13.2" x14ac:dyDescent="0.25">
      <c r="A391" s="28"/>
      <c r="B391" s="28"/>
      <c r="C391" s="9"/>
      <c r="D391" s="9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</row>
    <row r="392" spans="1:47" ht="13.2" x14ac:dyDescent="0.25">
      <c r="A392" s="28"/>
      <c r="B392" s="28"/>
      <c r="C392" s="9"/>
      <c r="D392" s="9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</row>
    <row r="393" spans="1:47" ht="13.2" x14ac:dyDescent="0.25">
      <c r="A393" s="28"/>
      <c r="B393" s="28"/>
      <c r="C393" s="9"/>
      <c r="D393" s="9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</row>
    <row r="394" spans="1:47" ht="13.2" x14ac:dyDescent="0.25">
      <c r="A394" s="28"/>
      <c r="B394" s="28"/>
      <c r="C394" s="9"/>
      <c r="D394" s="9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</row>
    <row r="395" spans="1:47" ht="13.2" x14ac:dyDescent="0.25">
      <c r="A395" s="28"/>
      <c r="B395" s="28"/>
      <c r="C395" s="9"/>
      <c r="D395" s="9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</row>
    <row r="396" spans="1:47" ht="13.2" x14ac:dyDescent="0.25">
      <c r="A396" s="28"/>
      <c r="B396" s="28"/>
      <c r="C396" s="9"/>
      <c r="D396" s="9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</row>
    <row r="397" spans="1:47" ht="13.2" x14ac:dyDescent="0.25">
      <c r="A397" s="28"/>
      <c r="B397" s="28"/>
      <c r="C397" s="9"/>
      <c r="D397" s="9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</row>
    <row r="398" spans="1:47" ht="13.2" x14ac:dyDescent="0.25">
      <c r="A398" s="28"/>
      <c r="B398" s="28"/>
      <c r="C398" s="9"/>
      <c r="D398" s="9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</row>
    <row r="399" spans="1:47" ht="13.2" x14ac:dyDescent="0.25">
      <c r="A399" s="28"/>
      <c r="B399" s="28"/>
      <c r="C399" s="9"/>
      <c r="D399" s="9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</row>
    <row r="400" spans="1:47" ht="13.2" x14ac:dyDescent="0.25">
      <c r="A400" s="28"/>
      <c r="B400" s="28"/>
      <c r="C400" s="9"/>
      <c r="D400" s="9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</row>
    <row r="401" spans="1:47" ht="13.2" x14ac:dyDescent="0.25">
      <c r="A401" s="28"/>
      <c r="B401" s="28"/>
      <c r="C401" s="9"/>
      <c r="D401" s="9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</row>
    <row r="402" spans="1:47" ht="13.2" x14ac:dyDescent="0.25">
      <c r="A402" s="28"/>
      <c r="B402" s="28"/>
      <c r="C402" s="9"/>
      <c r="D402" s="9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</row>
    <row r="403" spans="1:47" ht="13.2" x14ac:dyDescent="0.25">
      <c r="A403" s="28"/>
      <c r="B403" s="28"/>
      <c r="C403" s="9"/>
      <c r="D403" s="9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</row>
    <row r="404" spans="1:47" ht="13.2" x14ac:dyDescent="0.25">
      <c r="A404" s="28"/>
      <c r="B404" s="28"/>
      <c r="C404" s="9"/>
      <c r="D404" s="9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</row>
    <row r="405" spans="1:47" ht="13.2" x14ac:dyDescent="0.25">
      <c r="A405" s="28"/>
      <c r="B405" s="28"/>
      <c r="C405" s="9"/>
      <c r="D405" s="9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</row>
    <row r="406" spans="1:47" ht="13.2" x14ac:dyDescent="0.25">
      <c r="A406" s="28"/>
      <c r="B406" s="28"/>
      <c r="C406" s="9"/>
      <c r="D406" s="9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</row>
    <row r="407" spans="1:47" ht="13.2" x14ac:dyDescent="0.25">
      <c r="A407" s="28"/>
      <c r="B407" s="28"/>
      <c r="C407" s="9"/>
      <c r="D407" s="9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</row>
    <row r="408" spans="1:47" ht="13.2" x14ac:dyDescent="0.25">
      <c r="A408" s="28"/>
      <c r="B408" s="28"/>
      <c r="C408" s="9"/>
      <c r="D408" s="9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</row>
    <row r="409" spans="1:47" ht="13.2" x14ac:dyDescent="0.25">
      <c r="A409" s="28"/>
      <c r="B409" s="28"/>
      <c r="C409" s="9"/>
      <c r="D409" s="9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</row>
    <row r="410" spans="1:47" ht="13.2" x14ac:dyDescent="0.25">
      <c r="A410" s="28"/>
      <c r="B410" s="28"/>
      <c r="C410" s="9"/>
      <c r="D410" s="9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</row>
    <row r="411" spans="1:47" ht="13.2" x14ac:dyDescent="0.25">
      <c r="A411" s="28"/>
      <c r="B411" s="28"/>
      <c r="C411" s="9"/>
      <c r="D411" s="9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</row>
    <row r="412" spans="1:47" ht="13.2" x14ac:dyDescent="0.25">
      <c r="A412" s="28"/>
      <c r="B412" s="28"/>
      <c r="C412" s="9"/>
      <c r="D412" s="9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</row>
    <row r="413" spans="1:47" ht="13.2" x14ac:dyDescent="0.25">
      <c r="A413" s="28"/>
      <c r="B413" s="28"/>
      <c r="C413" s="9"/>
      <c r="D413" s="9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</row>
    <row r="414" spans="1:47" ht="13.2" x14ac:dyDescent="0.25">
      <c r="A414" s="28"/>
      <c r="B414" s="28"/>
      <c r="C414" s="9"/>
      <c r="D414" s="9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</row>
    <row r="415" spans="1:47" ht="13.2" x14ac:dyDescent="0.25">
      <c r="A415" s="28"/>
      <c r="B415" s="28"/>
      <c r="C415" s="9"/>
      <c r="D415" s="9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</row>
    <row r="416" spans="1:47" ht="13.2" x14ac:dyDescent="0.25">
      <c r="A416" s="28"/>
      <c r="B416" s="28"/>
      <c r="C416" s="9"/>
      <c r="D416" s="9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</row>
    <row r="417" spans="1:47" ht="13.2" x14ac:dyDescent="0.25">
      <c r="A417" s="28"/>
      <c r="B417" s="28"/>
      <c r="C417" s="9"/>
      <c r="D417" s="9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</row>
    <row r="418" spans="1:47" ht="13.2" x14ac:dyDescent="0.25">
      <c r="A418" s="28"/>
      <c r="B418" s="28"/>
      <c r="C418" s="9"/>
      <c r="D418" s="9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</row>
    <row r="419" spans="1:47" ht="13.2" x14ac:dyDescent="0.25">
      <c r="A419" s="28"/>
      <c r="B419" s="28"/>
      <c r="C419" s="9"/>
      <c r="D419" s="9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</row>
    <row r="420" spans="1:47" ht="13.2" x14ac:dyDescent="0.25">
      <c r="A420" s="28"/>
      <c r="B420" s="28"/>
      <c r="C420" s="9"/>
      <c r="D420" s="9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</row>
    <row r="421" spans="1:47" ht="13.2" x14ac:dyDescent="0.25">
      <c r="A421" s="28"/>
      <c r="B421" s="28"/>
      <c r="C421" s="9"/>
      <c r="D421" s="9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</row>
    <row r="422" spans="1:47" ht="13.2" x14ac:dyDescent="0.25">
      <c r="A422" s="28"/>
      <c r="B422" s="28"/>
      <c r="C422" s="9"/>
      <c r="D422" s="9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</row>
    <row r="423" spans="1:47" ht="13.2" x14ac:dyDescent="0.25">
      <c r="A423" s="28"/>
      <c r="B423" s="28"/>
      <c r="C423" s="9"/>
      <c r="D423" s="9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</row>
    <row r="424" spans="1:47" ht="13.2" x14ac:dyDescent="0.25">
      <c r="A424" s="28"/>
      <c r="B424" s="28"/>
      <c r="C424" s="9"/>
      <c r="D424" s="9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</row>
    <row r="425" spans="1:47" ht="13.2" x14ac:dyDescent="0.25">
      <c r="A425" s="28"/>
      <c r="B425" s="28"/>
      <c r="C425" s="9"/>
      <c r="D425" s="9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</row>
    <row r="426" spans="1:47" ht="13.2" x14ac:dyDescent="0.25">
      <c r="A426" s="28"/>
      <c r="B426" s="28"/>
      <c r="C426" s="9"/>
      <c r="D426" s="9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</row>
    <row r="427" spans="1:47" ht="13.2" x14ac:dyDescent="0.25">
      <c r="A427" s="28"/>
      <c r="B427" s="28"/>
      <c r="C427" s="9"/>
      <c r="D427" s="9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</row>
    <row r="428" spans="1:47" ht="13.2" x14ac:dyDescent="0.25">
      <c r="A428" s="28"/>
      <c r="B428" s="28"/>
      <c r="C428" s="9"/>
      <c r="D428" s="9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</row>
    <row r="429" spans="1:47" ht="13.2" x14ac:dyDescent="0.25">
      <c r="A429" s="28"/>
      <c r="B429" s="28"/>
      <c r="C429" s="9"/>
      <c r="D429" s="9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</row>
    <row r="430" spans="1:47" ht="13.2" x14ac:dyDescent="0.25">
      <c r="A430" s="28"/>
      <c r="B430" s="28"/>
      <c r="C430" s="9"/>
      <c r="D430" s="9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</row>
    <row r="431" spans="1:47" ht="13.2" x14ac:dyDescent="0.25">
      <c r="A431" s="28"/>
      <c r="B431" s="28"/>
      <c r="C431" s="9"/>
      <c r="D431" s="9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</row>
    <row r="432" spans="1:47" ht="13.2" x14ac:dyDescent="0.25">
      <c r="A432" s="28"/>
      <c r="B432" s="28"/>
      <c r="C432" s="9"/>
      <c r="D432" s="9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</row>
    <row r="433" spans="1:47" ht="13.2" x14ac:dyDescent="0.25">
      <c r="A433" s="28"/>
      <c r="B433" s="28"/>
      <c r="C433" s="9"/>
      <c r="D433" s="9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</row>
    <row r="434" spans="1:47" ht="13.2" x14ac:dyDescent="0.25">
      <c r="A434" s="28"/>
      <c r="B434" s="28"/>
      <c r="C434" s="9"/>
      <c r="D434" s="9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</row>
    <row r="435" spans="1:47" ht="13.2" x14ac:dyDescent="0.25">
      <c r="A435" s="28"/>
      <c r="B435" s="28"/>
      <c r="C435" s="9"/>
      <c r="D435" s="9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</row>
    <row r="436" spans="1:47" ht="13.2" x14ac:dyDescent="0.25">
      <c r="A436" s="28"/>
      <c r="B436" s="28"/>
      <c r="C436" s="9"/>
      <c r="D436" s="9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</row>
    <row r="437" spans="1:47" ht="13.2" x14ac:dyDescent="0.25">
      <c r="A437" s="28"/>
      <c r="B437" s="28"/>
      <c r="C437" s="9"/>
      <c r="D437" s="9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</row>
    <row r="438" spans="1:47" ht="13.2" x14ac:dyDescent="0.25">
      <c r="A438" s="28"/>
      <c r="B438" s="28"/>
      <c r="C438" s="9"/>
      <c r="D438" s="9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</row>
    <row r="439" spans="1:47" ht="13.2" x14ac:dyDescent="0.25">
      <c r="A439" s="28"/>
      <c r="B439" s="28"/>
      <c r="C439" s="9"/>
      <c r="D439" s="9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</row>
    <row r="440" spans="1:47" ht="13.2" x14ac:dyDescent="0.25">
      <c r="A440" s="28"/>
      <c r="B440" s="28"/>
      <c r="C440" s="9"/>
      <c r="D440" s="9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</row>
    <row r="441" spans="1:47" ht="13.2" x14ac:dyDescent="0.25">
      <c r="A441" s="28"/>
      <c r="B441" s="28"/>
      <c r="C441" s="9"/>
      <c r="D441" s="9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</row>
    <row r="442" spans="1:47" ht="13.2" x14ac:dyDescent="0.25">
      <c r="A442" s="28"/>
      <c r="B442" s="28"/>
      <c r="C442" s="9"/>
      <c r="D442" s="9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</row>
    <row r="443" spans="1:47" ht="13.2" x14ac:dyDescent="0.25">
      <c r="A443" s="28"/>
      <c r="B443" s="28"/>
      <c r="C443" s="9"/>
      <c r="D443" s="9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</row>
    <row r="444" spans="1:47" ht="13.2" x14ac:dyDescent="0.25">
      <c r="A444" s="28"/>
      <c r="B444" s="28"/>
      <c r="C444" s="9"/>
      <c r="D444" s="9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</row>
    <row r="445" spans="1:47" ht="13.2" x14ac:dyDescent="0.25">
      <c r="A445" s="28"/>
      <c r="B445" s="28"/>
      <c r="C445" s="9"/>
      <c r="D445" s="9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</row>
    <row r="446" spans="1:47" ht="13.2" x14ac:dyDescent="0.25">
      <c r="A446" s="28"/>
      <c r="B446" s="28"/>
      <c r="C446" s="9"/>
      <c r="D446" s="9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</row>
    <row r="447" spans="1:47" ht="13.2" x14ac:dyDescent="0.25">
      <c r="A447" s="28"/>
      <c r="B447" s="28"/>
      <c r="C447" s="9"/>
      <c r="D447" s="9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</row>
    <row r="448" spans="1:47" ht="13.2" x14ac:dyDescent="0.25">
      <c r="A448" s="28"/>
      <c r="B448" s="28"/>
      <c r="C448" s="9"/>
      <c r="D448" s="9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</row>
    <row r="449" spans="1:47" ht="13.2" x14ac:dyDescent="0.25">
      <c r="A449" s="28"/>
      <c r="B449" s="28"/>
      <c r="C449" s="9"/>
      <c r="D449" s="9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</row>
    <row r="450" spans="1:47" ht="13.2" x14ac:dyDescent="0.25">
      <c r="A450" s="28"/>
      <c r="B450" s="28"/>
      <c r="C450" s="9"/>
      <c r="D450" s="9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</row>
    <row r="451" spans="1:47" ht="13.2" x14ac:dyDescent="0.25">
      <c r="A451" s="28"/>
      <c r="B451" s="28"/>
      <c r="C451" s="9"/>
      <c r="D451" s="9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</row>
    <row r="452" spans="1:47" ht="13.2" x14ac:dyDescent="0.25">
      <c r="A452" s="28"/>
      <c r="B452" s="28"/>
      <c r="C452" s="9"/>
      <c r="D452" s="9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</row>
    <row r="453" spans="1:47" ht="13.2" x14ac:dyDescent="0.25">
      <c r="A453" s="28"/>
      <c r="B453" s="28"/>
      <c r="C453" s="9"/>
      <c r="D453" s="9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</row>
    <row r="454" spans="1:47" ht="13.2" x14ac:dyDescent="0.25">
      <c r="A454" s="28"/>
      <c r="B454" s="28"/>
      <c r="C454" s="9"/>
      <c r="D454" s="9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</row>
    <row r="455" spans="1:47" ht="13.2" x14ac:dyDescent="0.25">
      <c r="A455" s="28"/>
      <c r="B455" s="28"/>
      <c r="C455" s="9"/>
      <c r="D455" s="9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</row>
    <row r="456" spans="1:47" ht="13.2" x14ac:dyDescent="0.25">
      <c r="A456" s="28"/>
      <c r="B456" s="28"/>
      <c r="C456" s="9"/>
      <c r="D456" s="9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</row>
    <row r="457" spans="1:47" ht="13.2" x14ac:dyDescent="0.25">
      <c r="A457" s="28"/>
      <c r="B457" s="28"/>
      <c r="C457" s="9"/>
      <c r="D457" s="9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</row>
    <row r="458" spans="1:47" ht="13.2" x14ac:dyDescent="0.25">
      <c r="A458" s="28"/>
      <c r="B458" s="28"/>
      <c r="C458" s="9"/>
      <c r="D458" s="9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</row>
    <row r="459" spans="1:47" ht="13.2" x14ac:dyDescent="0.25">
      <c r="A459" s="28"/>
      <c r="B459" s="28"/>
      <c r="C459" s="9"/>
      <c r="D459" s="9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</row>
    <row r="460" spans="1:47" ht="13.2" x14ac:dyDescent="0.25">
      <c r="A460" s="28"/>
      <c r="B460" s="28"/>
      <c r="C460" s="9"/>
      <c r="D460" s="9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</row>
    <row r="461" spans="1:47" ht="13.2" x14ac:dyDescent="0.25">
      <c r="A461" s="28"/>
      <c r="B461" s="28"/>
      <c r="C461" s="9"/>
      <c r="D461" s="9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</row>
    <row r="462" spans="1:47" ht="13.2" x14ac:dyDescent="0.25">
      <c r="A462" s="28"/>
      <c r="B462" s="28"/>
      <c r="C462" s="9"/>
      <c r="D462" s="9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</row>
    <row r="463" spans="1:47" ht="13.2" x14ac:dyDescent="0.25">
      <c r="A463" s="28"/>
      <c r="B463" s="28"/>
      <c r="C463" s="9"/>
      <c r="D463" s="9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</row>
    <row r="464" spans="1:47" ht="13.2" x14ac:dyDescent="0.25">
      <c r="A464" s="28"/>
      <c r="B464" s="28"/>
      <c r="C464" s="9"/>
      <c r="D464" s="9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</row>
    <row r="465" spans="1:47" ht="13.2" x14ac:dyDescent="0.25">
      <c r="A465" s="28"/>
      <c r="B465" s="28"/>
      <c r="C465" s="9"/>
      <c r="D465" s="9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</row>
    <row r="466" spans="1:47" ht="13.2" x14ac:dyDescent="0.25">
      <c r="A466" s="28"/>
      <c r="B466" s="28"/>
      <c r="C466" s="9"/>
      <c r="D466" s="9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</row>
    <row r="467" spans="1:47" ht="13.2" x14ac:dyDescent="0.25">
      <c r="A467" s="28"/>
      <c r="B467" s="28"/>
      <c r="C467" s="9"/>
      <c r="D467" s="9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</row>
    <row r="468" spans="1:47" ht="13.2" x14ac:dyDescent="0.25">
      <c r="A468" s="28"/>
      <c r="B468" s="28"/>
      <c r="C468" s="9"/>
      <c r="D468" s="9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</row>
    <row r="469" spans="1:47" ht="13.2" x14ac:dyDescent="0.25">
      <c r="A469" s="28"/>
      <c r="B469" s="28"/>
      <c r="C469" s="9"/>
      <c r="D469" s="9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</row>
    <row r="470" spans="1:47" ht="13.2" x14ac:dyDescent="0.25">
      <c r="A470" s="28"/>
      <c r="B470" s="28"/>
      <c r="C470" s="9"/>
      <c r="D470" s="9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</row>
    <row r="471" spans="1:47" ht="13.2" x14ac:dyDescent="0.25">
      <c r="A471" s="28"/>
      <c r="B471" s="28"/>
      <c r="C471" s="9"/>
      <c r="D471" s="9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</row>
    <row r="472" spans="1:47" ht="13.2" x14ac:dyDescent="0.25">
      <c r="A472" s="28"/>
      <c r="B472" s="28"/>
      <c r="C472" s="9"/>
      <c r="D472" s="9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</row>
    <row r="473" spans="1:47" ht="13.2" x14ac:dyDescent="0.25">
      <c r="A473" s="28"/>
      <c r="B473" s="28"/>
      <c r="C473" s="9"/>
      <c r="D473" s="9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</row>
    <row r="474" spans="1:47" ht="13.2" x14ac:dyDescent="0.25">
      <c r="A474" s="28"/>
      <c r="B474" s="28"/>
      <c r="C474" s="9"/>
      <c r="D474" s="9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</row>
    <row r="475" spans="1:47" ht="13.2" x14ac:dyDescent="0.25">
      <c r="A475" s="28"/>
      <c r="B475" s="28"/>
      <c r="C475" s="9"/>
      <c r="D475" s="9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</row>
    <row r="476" spans="1:47" ht="13.2" x14ac:dyDescent="0.25">
      <c r="A476" s="28"/>
      <c r="B476" s="28"/>
      <c r="C476" s="9"/>
      <c r="D476" s="9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</row>
    <row r="477" spans="1:47" ht="13.2" x14ac:dyDescent="0.25">
      <c r="A477" s="28"/>
      <c r="B477" s="28"/>
      <c r="C477" s="9"/>
      <c r="D477" s="9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</row>
    <row r="478" spans="1:47" ht="13.2" x14ac:dyDescent="0.25">
      <c r="A478" s="28"/>
      <c r="B478" s="28"/>
      <c r="C478" s="9"/>
      <c r="D478" s="9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</row>
    <row r="479" spans="1:47" ht="13.2" x14ac:dyDescent="0.25">
      <c r="A479" s="28"/>
      <c r="B479" s="28"/>
      <c r="C479" s="9"/>
      <c r="D479" s="9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</row>
    <row r="480" spans="1:47" ht="13.2" x14ac:dyDescent="0.25">
      <c r="A480" s="28"/>
      <c r="B480" s="28"/>
      <c r="C480" s="9"/>
      <c r="D480" s="9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</row>
    <row r="481" spans="1:47" ht="13.2" x14ac:dyDescent="0.25">
      <c r="A481" s="28"/>
      <c r="B481" s="28"/>
      <c r="C481" s="9"/>
      <c r="D481" s="9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</row>
    <row r="482" spans="1:47" ht="13.2" x14ac:dyDescent="0.25">
      <c r="A482" s="28"/>
      <c r="B482" s="28"/>
      <c r="C482" s="9"/>
      <c r="D482" s="9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</row>
    <row r="483" spans="1:47" ht="13.2" x14ac:dyDescent="0.25">
      <c r="A483" s="28"/>
      <c r="B483" s="28"/>
      <c r="C483" s="9"/>
      <c r="D483" s="9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</row>
    <row r="484" spans="1:47" ht="13.2" x14ac:dyDescent="0.25">
      <c r="A484" s="28"/>
      <c r="B484" s="28"/>
      <c r="C484" s="9"/>
      <c r="D484" s="9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</row>
    <row r="485" spans="1:47" ht="13.2" x14ac:dyDescent="0.25">
      <c r="A485" s="28"/>
      <c r="B485" s="28"/>
      <c r="C485" s="9"/>
      <c r="D485" s="9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</row>
    <row r="486" spans="1:47" ht="13.2" x14ac:dyDescent="0.25">
      <c r="A486" s="28"/>
      <c r="B486" s="28"/>
      <c r="C486" s="9"/>
      <c r="D486" s="9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</row>
    <row r="487" spans="1:47" ht="13.2" x14ac:dyDescent="0.25">
      <c r="A487" s="28"/>
      <c r="B487" s="28"/>
      <c r="C487" s="9"/>
      <c r="D487" s="9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</row>
    <row r="488" spans="1:47" ht="13.2" x14ac:dyDescent="0.25">
      <c r="A488" s="28"/>
      <c r="B488" s="28"/>
      <c r="C488" s="9"/>
      <c r="D488" s="9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</row>
    <row r="489" spans="1:47" ht="13.2" x14ac:dyDescent="0.25">
      <c r="A489" s="28"/>
      <c r="B489" s="28"/>
      <c r="C489" s="9"/>
      <c r="D489" s="9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</row>
    <row r="490" spans="1:47" ht="13.2" x14ac:dyDescent="0.25">
      <c r="A490" s="28"/>
      <c r="B490" s="28"/>
      <c r="C490" s="9"/>
      <c r="D490" s="9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</row>
    <row r="491" spans="1:47" ht="13.2" x14ac:dyDescent="0.25">
      <c r="A491" s="28"/>
      <c r="B491" s="28"/>
      <c r="C491" s="9"/>
      <c r="D491" s="9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</row>
    <row r="492" spans="1:47" ht="13.2" x14ac:dyDescent="0.25">
      <c r="A492" s="28"/>
      <c r="B492" s="28"/>
      <c r="C492" s="9"/>
      <c r="D492" s="9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</row>
    <row r="493" spans="1:47" ht="13.2" x14ac:dyDescent="0.25">
      <c r="A493" s="28"/>
      <c r="B493" s="28"/>
      <c r="C493" s="9"/>
      <c r="D493" s="9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</row>
    <row r="494" spans="1:47" ht="13.2" x14ac:dyDescent="0.25">
      <c r="A494" s="28"/>
      <c r="B494" s="28"/>
      <c r="C494" s="9"/>
      <c r="D494" s="9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</row>
    <row r="495" spans="1:47" ht="13.2" x14ac:dyDescent="0.25">
      <c r="A495" s="28"/>
      <c r="B495" s="28"/>
      <c r="C495" s="9"/>
      <c r="D495" s="9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</row>
    <row r="496" spans="1:47" ht="13.2" x14ac:dyDescent="0.25">
      <c r="A496" s="28"/>
      <c r="B496" s="28"/>
      <c r="C496" s="9"/>
      <c r="D496" s="9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</row>
    <row r="497" spans="1:47" ht="13.2" x14ac:dyDescent="0.25">
      <c r="A497" s="28"/>
      <c r="B497" s="28"/>
      <c r="C497" s="9"/>
      <c r="D497" s="9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</row>
    <row r="498" spans="1:47" ht="13.2" x14ac:dyDescent="0.25">
      <c r="A498" s="28"/>
      <c r="B498" s="28"/>
      <c r="C498" s="9"/>
      <c r="D498" s="9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</row>
    <row r="499" spans="1:47" ht="13.2" x14ac:dyDescent="0.25">
      <c r="A499" s="28"/>
      <c r="B499" s="28"/>
      <c r="C499" s="9"/>
      <c r="D499" s="9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</row>
    <row r="500" spans="1:47" ht="13.2" x14ac:dyDescent="0.25">
      <c r="A500" s="28"/>
      <c r="B500" s="28"/>
      <c r="C500" s="9"/>
      <c r="D500" s="9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</row>
    <row r="501" spans="1:47" ht="13.2" x14ac:dyDescent="0.25">
      <c r="A501" s="28"/>
      <c r="B501" s="28"/>
      <c r="C501" s="9"/>
      <c r="D501" s="9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</row>
    <row r="502" spans="1:47" ht="13.2" x14ac:dyDescent="0.25">
      <c r="A502" s="28"/>
      <c r="B502" s="28"/>
      <c r="C502" s="9"/>
      <c r="D502" s="9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</row>
    <row r="503" spans="1:47" ht="13.2" x14ac:dyDescent="0.25">
      <c r="A503" s="28"/>
      <c r="B503" s="28"/>
      <c r="C503" s="9"/>
      <c r="D503" s="9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</row>
    <row r="504" spans="1:47" ht="13.2" x14ac:dyDescent="0.25">
      <c r="A504" s="28"/>
      <c r="B504" s="28"/>
      <c r="C504" s="9"/>
      <c r="D504" s="9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</row>
    <row r="505" spans="1:47" ht="13.2" x14ac:dyDescent="0.25">
      <c r="A505" s="28"/>
      <c r="B505" s="28"/>
      <c r="C505" s="9"/>
      <c r="D505" s="9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</row>
    <row r="506" spans="1:47" ht="13.2" x14ac:dyDescent="0.25">
      <c r="A506" s="28"/>
      <c r="B506" s="28"/>
      <c r="C506" s="9"/>
      <c r="D506" s="9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</row>
    <row r="507" spans="1:47" ht="13.2" x14ac:dyDescent="0.25">
      <c r="A507" s="28"/>
      <c r="B507" s="28"/>
      <c r="C507" s="9"/>
      <c r="D507" s="9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</row>
    <row r="508" spans="1:47" ht="13.2" x14ac:dyDescent="0.25">
      <c r="A508" s="28"/>
      <c r="B508" s="28"/>
      <c r="C508" s="9"/>
      <c r="D508" s="9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</row>
    <row r="509" spans="1:47" ht="13.2" x14ac:dyDescent="0.25">
      <c r="A509" s="28"/>
      <c r="B509" s="28"/>
      <c r="C509" s="9"/>
      <c r="D509" s="9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</row>
    <row r="510" spans="1:47" ht="13.2" x14ac:dyDescent="0.25">
      <c r="A510" s="28"/>
      <c r="B510" s="28"/>
      <c r="C510" s="9"/>
      <c r="D510" s="9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</row>
    <row r="511" spans="1:47" ht="13.2" x14ac:dyDescent="0.25">
      <c r="A511" s="28"/>
      <c r="B511" s="28"/>
      <c r="C511" s="9"/>
      <c r="D511" s="9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</row>
    <row r="512" spans="1:47" ht="13.2" x14ac:dyDescent="0.25">
      <c r="A512" s="28"/>
      <c r="B512" s="28"/>
      <c r="C512" s="9"/>
      <c r="D512" s="9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</row>
    <row r="513" spans="1:47" ht="13.2" x14ac:dyDescent="0.25">
      <c r="A513" s="28"/>
      <c r="B513" s="28"/>
      <c r="C513" s="9"/>
      <c r="D513" s="9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</row>
    <row r="514" spans="1:47" ht="13.2" x14ac:dyDescent="0.25">
      <c r="A514" s="28"/>
      <c r="B514" s="28"/>
      <c r="C514" s="9"/>
      <c r="D514" s="9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</row>
    <row r="515" spans="1:47" ht="13.2" x14ac:dyDescent="0.25">
      <c r="A515" s="28"/>
      <c r="B515" s="28"/>
      <c r="C515" s="9"/>
      <c r="D515" s="9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</row>
    <row r="516" spans="1:47" ht="13.2" x14ac:dyDescent="0.25">
      <c r="A516" s="28"/>
      <c r="B516" s="28"/>
      <c r="C516" s="9"/>
      <c r="D516" s="9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</row>
    <row r="517" spans="1:47" ht="13.2" x14ac:dyDescent="0.25">
      <c r="A517" s="28"/>
      <c r="B517" s="28"/>
      <c r="C517" s="9"/>
      <c r="D517" s="9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</row>
    <row r="518" spans="1:47" ht="13.2" x14ac:dyDescent="0.25">
      <c r="A518" s="28"/>
      <c r="B518" s="28"/>
      <c r="C518" s="9"/>
      <c r="D518" s="9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</row>
    <row r="519" spans="1:47" ht="13.2" x14ac:dyDescent="0.25">
      <c r="A519" s="28"/>
      <c r="B519" s="28"/>
      <c r="C519" s="9"/>
      <c r="D519" s="9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</row>
    <row r="520" spans="1:47" ht="13.2" x14ac:dyDescent="0.25">
      <c r="A520" s="28"/>
      <c r="B520" s="28"/>
      <c r="C520" s="9"/>
      <c r="D520" s="9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</row>
    <row r="521" spans="1:47" ht="13.2" x14ac:dyDescent="0.25">
      <c r="A521" s="28"/>
      <c r="B521" s="28"/>
      <c r="C521" s="9"/>
      <c r="D521" s="9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</row>
    <row r="522" spans="1:47" ht="13.2" x14ac:dyDescent="0.25">
      <c r="A522" s="28"/>
      <c r="B522" s="28"/>
      <c r="C522" s="9"/>
      <c r="D522" s="9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</row>
    <row r="523" spans="1:47" ht="13.2" x14ac:dyDescent="0.25">
      <c r="A523" s="28"/>
      <c r="B523" s="28"/>
      <c r="C523" s="9"/>
      <c r="D523" s="9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</row>
    <row r="524" spans="1:47" ht="13.2" x14ac:dyDescent="0.25">
      <c r="A524" s="28"/>
      <c r="B524" s="28"/>
      <c r="C524" s="9"/>
      <c r="D524" s="9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</row>
    <row r="525" spans="1:47" ht="13.2" x14ac:dyDescent="0.25">
      <c r="A525" s="28"/>
      <c r="B525" s="28"/>
      <c r="C525" s="9"/>
      <c r="D525" s="9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</row>
    <row r="526" spans="1:47" ht="13.2" x14ac:dyDescent="0.25">
      <c r="A526" s="28"/>
      <c r="B526" s="28"/>
      <c r="C526" s="9"/>
      <c r="D526" s="9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</row>
    <row r="527" spans="1:47" ht="13.2" x14ac:dyDescent="0.25">
      <c r="A527" s="28"/>
      <c r="B527" s="28"/>
      <c r="C527" s="9"/>
      <c r="D527" s="9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</row>
    <row r="528" spans="1:47" ht="13.2" x14ac:dyDescent="0.25">
      <c r="A528" s="28"/>
      <c r="B528" s="28"/>
      <c r="C528" s="9"/>
      <c r="D528" s="9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</row>
    <row r="529" spans="1:47" ht="13.2" x14ac:dyDescent="0.25">
      <c r="A529" s="28"/>
      <c r="B529" s="28"/>
      <c r="C529" s="9"/>
      <c r="D529" s="9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</row>
    <row r="530" spans="1:47" ht="13.2" x14ac:dyDescent="0.25">
      <c r="A530" s="28"/>
      <c r="B530" s="28"/>
      <c r="C530" s="9"/>
      <c r="D530" s="9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</row>
    <row r="531" spans="1:47" ht="13.2" x14ac:dyDescent="0.25">
      <c r="A531" s="28"/>
      <c r="B531" s="28"/>
      <c r="C531" s="9"/>
      <c r="D531" s="9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</row>
    <row r="532" spans="1:47" ht="13.2" x14ac:dyDescent="0.25">
      <c r="A532" s="28"/>
      <c r="B532" s="28"/>
      <c r="C532" s="9"/>
      <c r="D532" s="9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</row>
    <row r="533" spans="1:47" ht="13.2" x14ac:dyDescent="0.25">
      <c r="A533" s="28"/>
      <c r="B533" s="28"/>
      <c r="C533" s="9"/>
      <c r="D533" s="9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</row>
    <row r="534" spans="1:47" ht="13.2" x14ac:dyDescent="0.25">
      <c r="A534" s="28"/>
      <c r="B534" s="28"/>
      <c r="C534" s="9"/>
      <c r="D534" s="9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</row>
    <row r="535" spans="1:47" ht="13.2" x14ac:dyDescent="0.25">
      <c r="A535" s="28"/>
      <c r="B535" s="28"/>
      <c r="C535" s="9"/>
      <c r="D535" s="9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</row>
    <row r="536" spans="1:47" ht="13.2" x14ac:dyDescent="0.25">
      <c r="A536" s="28"/>
      <c r="B536" s="28"/>
      <c r="C536" s="9"/>
      <c r="D536" s="9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</row>
    <row r="537" spans="1:47" ht="13.2" x14ac:dyDescent="0.25">
      <c r="A537" s="28"/>
      <c r="B537" s="28"/>
      <c r="C537" s="9"/>
      <c r="D537" s="9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</row>
    <row r="538" spans="1:47" ht="13.2" x14ac:dyDescent="0.25">
      <c r="A538" s="28"/>
      <c r="B538" s="28"/>
      <c r="C538" s="9"/>
      <c r="D538" s="9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</row>
    <row r="539" spans="1:47" ht="13.2" x14ac:dyDescent="0.25">
      <c r="A539" s="28"/>
      <c r="B539" s="28"/>
      <c r="C539" s="9"/>
      <c r="D539" s="9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</row>
    <row r="540" spans="1:47" ht="13.2" x14ac:dyDescent="0.25">
      <c r="A540" s="28"/>
      <c r="B540" s="28"/>
      <c r="C540" s="9"/>
      <c r="D540" s="9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</row>
    <row r="541" spans="1:47" ht="13.2" x14ac:dyDescent="0.25">
      <c r="A541" s="28"/>
      <c r="B541" s="28"/>
      <c r="C541" s="9"/>
      <c r="D541" s="9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</row>
    <row r="542" spans="1:47" ht="13.2" x14ac:dyDescent="0.25">
      <c r="A542" s="28"/>
      <c r="B542" s="28"/>
      <c r="C542" s="9"/>
      <c r="D542" s="9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</row>
    <row r="543" spans="1:47" ht="13.2" x14ac:dyDescent="0.25">
      <c r="A543" s="28"/>
      <c r="B543" s="28"/>
      <c r="C543" s="9"/>
      <c r="D543" s="9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</row>
    <row r="544" spans="1:47" ht="13.2" x14ac:dyDescent="0.25">
      <c r="A544" s="28"/>
      <c r="B544" s="28"/>
      <c r="C544" s="9"/>
      <c r="D544" s="9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</row>
    <row r="545" spans="1:47" ht="13.2" x14ac:dyDescent="0.25">
      <c r="A545" s="28"/>
      <c r="B545" s="28"/>
      <c r="C545" s="9"/>
      <c r="D545" s="9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</row>
    <row r="546" spans="1:47" ht="13.2" x14ac:dyDescent="0.25">
      <c r="A546" s="28"/>
      <c r="B546" s="28"/>
      <c r="C546" s="9"/>
      <c r="D546" s="9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</row>
    <row r="547" spans="1:47" ht="13.2" x14ac:dyDescent="0.25">
      <c r="A547" s="28"/>
      <c r="B547" s="28"/>
      <c r="C547" s="9"/>
      <c r="D547" s="9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</row>
    <row r="548" spans="1:47" ht="13.2" x14ac:dyDescent="0.25">
      <c r="A548" s="28"/>
      <c r="B548" s="28"/>
      <c r="C548" s="9"/>
      <c r="D548" s="9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</row>
    <row r="549" spans="1:47" ht="13.2" x14ac:dyDescent="0.25">
      <c r="A549" s="28"/>
      <c r="B549" s="28"/>
      <c r="C549" s="9"/>
      <c r="D549" s="9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</row>
    <row r="550" spans="1:47" ht="13.2" x14ac:dyDescent="0.25">
      <c r="A550" s="28"/>
      <c r="B550" s="28"/>
      <c r="C550" s="9"/>
      <c r="D550" s="9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</row>
    <row r="551" spans="1:47" ht="13.2" x14ac:dyDescent="0.25">
      <c r="A551" s="28"/>
      <c r="B551" s="28"/>
      <c r="C551" s="9"/>
      <c r="D551" s="9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</row>
    <row r="552" spans="1:47" ht="13.2" x14ac:dyDescent="0.25">
      <c r="A552" s="28"/>
      <c r="B552" s="28"/>
      <c r="C552" s="9"/>
      <c r="D552" s="9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</row>
    <row r="553" spans="1:47" ht="13.2" x14ac:dyDescent="0.25">
      <c r="A553" s="28"/>
      <c r="B553" s="28"/>
      <c r="C553" s="9"/>
      <c r="D553" s="9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</row>
    <row r="554" spans="1:47" ht="13.2" x14ac:dyDescent="0.25">
      <c r="A554" s="28"/>
      <c r="B554" s="28"/>
      <c r="C554" s="9"/>
      <c r="D554" s="9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</row>
    <row r="555" spans="1:47" ht="13.2" x14ac:dyDescent="0.25">
      <c r="A555" s="28"/>
      <c r="B555" s="28"/>
      <c r="C555" s="9"/>
      <c r="D555" s="9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</row>
    <row r="556" spans="1:47" ht="13.2" x14ac:dyDescent="0.25">
      <c r="A556" s="28"/>
      <c r="B556" s="28"/>
      <c r="C556" s="9"/>
      <c r="D556" s="9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</row>
    <row r="557" spans="1:47" ht="13.2" x14ac:dyDescent="0.25">
      <c r="A557" s="28"/>
      <c r="B557" s="28"/>
      <c r="C557" s="9"/>
      <c r="D557" s="9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</row>
    <row r="558" spans="1:47" ht="13.2" x14ac:dyDescent="0.25">
      <c r="A558" s="28"/>
      <c r="B558" s="28"/>
      <c r="C558" s="9"/>
      <c r="D558" s="9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</row>
    <row r="559" spans="1:47" ht="13.2" x14ac:dyDescent="0.25">
      <c r="A559" s="28"/>
      <c r="B559" s="28"/>
      <c r="C559" s="9"/>
      <c r="D559" s="9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</row>
    <row r="560" spans="1:47" ht="13.2" x14ac:dyDescent="0.25">
      <c r="A560" s="28"/>
      <c r="B560" s="28"/>
      <c r="C560" s="9"/>
      <c r="D560" s="9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</row>
    <row r="561" spans="1:47" ht="13.2" x14ac:dyDescent="0.25">
      <c r="A561" s="28"/>
      <c r="B561" s="28"/>
      <c r="C561" s="9"/>
      <c r="D561" s="9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</row>
    <row r="562" spans="1:47" ht="13.2" x14ac:dyDescent="0.25">
      <c r="A562" s="28"/>
      <c r="B562" s="28"/>
      <c r="C562" s="9"/>
      <c r="D562" s="9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</row>
    <row r="563" spans="1:47" ht="13.2" x14ac:dyDescent="0.25">
      <c r="A563" s="28"/>
      <c r="B563" s="28"/>
      <c r="C563" s="9"/>
      <c r="D563" s="9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</row>
    <row r="564" spans="1:47" ht="13.2" x14ac:dyDescent="0.25">
      <c r="A564" s="28"/>
      <c r="B564" s="28"/>
      <c r="C564" s="9"/>
      <c r="D564" s="9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</row>
    <row r="565" spans="1:47" ht="13.2" x14ac:dyDescent="0.25">
      <c r="A565" s="28"/>
      <c r="B565" s="28"/>
      <c r="C565" s="9"/>
      <c r="D565" s="9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</row>
    <row r="566" spans="1:47" ht="13.2" x14ac:dyDescent="0.25">
      <c r="A566" s="28"/>
      <c r="B566" s="28"/>
      <c r="C566" s="9"/>
      <c r="D566" s="9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</row>
    <row r="567" spans="1:47" ht="13.2" x14ac:dyDescent="0.25">
      <c r="A567" s="28"/>
      <c r="B567" s="28"/>
      <c r="C567" s="9"/>
      <c r="D567" s="9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</row>
    <row r="568" spans="1:47" ht="13.2" x14ac:dyDescent="0.25">
      <c r="A568" s="28"/>
      <c r="B568" s="28"/>
      <c r="C568" s="9"/>
      <c r="D568" s="9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</row>
    <row r="569" spans="1:47" ht="13.2" x14ac:dyDescent="0.25">
      <c r="A569" s="28"/>
      <c r="B569" s="28"/>
      <c r="C569" s="9"/>
      <c r="D569" s="9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</row>
    <row r="570" spans="1:47" ht="13.2" x14ac:dyDescent="0.25">
      <c r="A570" s="28"/>
      <c r="B570" s="28"/>
      <c r="C570" s="9"/>
      <c r="D570" s="9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</row>
    <row r="571" spans="1:47" ht="13.2" x14ac:dyDescent="0.25">
      <c r="A571" s="28"/>
      <c r="B571" s="28"/>
      <c r="C571" s="9"/>
      <c r="D571" s="9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</row>
    <row r="572" spans="1:47" ht="13.2" x14ac:dyDescent="0.25">
      <c r="A572" s="28"/>
      <c r="B572" s="28"/>
      <c r="C572" s="9"/>
      <c r="D572" s="9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</row>
    <row r="573" spans="1:47" ht="13.2" x14ac:dyDescent="0.25">
      <c r="A573" s="28"/>
      <c r="B573" s="28"/>
      <c r="C573" s="9"/>
      <c r="D573" s="9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</row>
    <row r="574" spans="1:47" ht="13.2" x14ac:dyDescent="0.25">
      <c r="A574" s="28"/>
      <c r="B574" s="28"/>
      <c r="C574" s="9"/>
      <c r="D574" s="9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</row>
    <row r="575" spans="1:47" ht="13.2" x14ac:dyDescent="0.25">
      <c r="A575" s="28"/>
      <c r="B575" s="28"/>
      <c r="C575" s="9"/>
      <c r="D575" s="9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</row>
    <row r="576" spans="1:47" ht="13.2" x14ac:dyDescent="0.25">
      <c r="A576" s="28"/>
      <c r="B576" s="28"/>
      <c r="C576" s="9"/>
      <c r="D576" s="9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</row>
    <row r="577" spans="1:47" ht="13.2" x14ac:dyDescent="0.25">
      <c r="A577" s="28"/>
      <c r="B577" s="28"/>
      <c r="C577" s="9"/>
      <c r="D577" s="9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</row>
    <row r="578" spans="1:47" ht="13.2" x14ac:dyDescent="0.25">
      <c r="A578" s="28"/>
      <c r="B578" s="28"/>
      <c r="C578" s="9"/>
      <c r="D578" s="9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</row>
    <row r="579" spans="1:47" ht="13.2" x14ac:dyDescent="0.25">
      <c r="A579" s="28"/>
      <c r="B579" s="28"/>
      <c r="C579" s="9"/>
      <c r="D579" s="9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</row>
    <row r="580" spans="1:47" ht="13.2" x14ac:dyDescent="0.25">
      <c r="A580" s="28"/>
      <c r="B580" s="28"/>
      <c r="C580" s="9"/>
      <c r="D580" s="9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</row>
    <row r="581" spans="1:47" ht="13.2" x14ac:dyDescent="0.25">
      <c r="A581" s="28"/>
      <c r="B581" s="28"/>
      <c r="C581" s="9"/>
      <c r="D581" s="9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</row>
    <row r="582" spans="1:47" ht="13.2" x14ac:dyDescent="0.25">
      <c r="A582" s="28"/>
      <c r="B582" s="28"/>
      <c r="C582" s="9"/>
      <c r="D582" s="9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</row>
    <row r="583" spans="1:47" ht="13.2" x14ac:dyDescent="0.25">
      <c r="A583" s="28"/>
      <c r="B583" s="28"/>
      <c r="C583" s="9"/>
      <c r="D583" s="9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</row>
    <row r="584" spans="1:47" ht="13.2" x14ac:dyDescent="0.25">
      <c r="A584" s="28"/>
      <c r="B584" s="28"/>
      <c r="C584" s="9"/>
      <c r="D584" s="9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</row>
    <row r="585" spans="1:47" ht="13.2" x14ac:dyDescent="0.25">
      <c r="A585" s="28"/>
      <c r="B585" s="28"/>
      <c r="C585" s="9"/>
      <c r="D585" s="9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</row>
    <row r="586" spans="1:47" ht="13.2" x14ac:dyDescent="0.25">
      <c r="A586" s="28"/>
      <c r="B586" s="28"/>
      <c r="C586" s="9"/>
      <c r="D586" s="9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</row>
    <row r="587" spans="1:47" ht="13.2" x14ac:dyDescent="0.25">
      <c r="A587" s="28"/>
      <c r="B587" s="28"/>
      <c r="C587" s="9"/>
      <c r="D587" s="9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</row>
    <row r="588" spans="1:47" ht="13.2" x14ac:dyDescent="0.25">
      <c r="A588" s="28"/>
      <c r="B588" s="28"/>
      <c r="C588" s="9"/>
      <c r="D588" s="9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</row>
    <row r="589" spans="1:47" ht="13.2" x14ac:dyDescent="0.25">
      <c r="A589" s="28"/>
      <c r="B589" s="28"/>
      <c r="C589" s="9"/>
      <c r="D589" s="9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</row>
    <row r="590" spans="1:47" ht="13.2" x14ac:dyDescent="0.25">
      <c r="A590" s="28"/>
      <c r="B590" s="28"/>
      <c r="C590" s="9"/>
      <c r="D590" s="9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</row>
    <row r="591" spans="1:47" ht="13.2" x14ac:dyDescent="0.25">
      <c r="A591" s="28"/>
      <c r="B591" s="28"/>
      <c r="C591" s="9"/>
      <c r="D591" s="9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</row>
    <row r="592" spans="1:47" ht="13.2" x14ac:dyDescent="0.25">
      <c r="A592" s="28"/>
      <c r="B592" s="28"/>
      <c r="C592" s="9"/>
      <c r="D592" s="9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</row>
    <row r="593" spans="1:47" ht="13.2" x14ac:dyDescent="0.25">
      <c r="A593" s="28"/>
      <c r="B593" s="28"/>
      <c r="C593" s="9"/>
      <c r="D593" s="9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</row>
    <row r="594" spans="1:47" ht="13.2" x14ac:dyDescent="0.25">
      <c r="A594" s="28"/>
      <c r="B594" s="28"/>
      <c r="C594" s="9"/>
      <c r="D594" s="9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</row>
    <row r="595" spans="1:47" ht="13.2" x14ac:dyDescent="0.25">
      <c r="A595" s="28"/>
      <c r="B595" s="28"/>
      <c r="C595" s="9"/>
      <c r="D595" s="9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</row>
    <row r="596" spans="1:47" ht="13.2" x14ac:dyDescent="0.25">
      <c r="A596" s="28"/>
      <c r="B596" s="28"/>
      <c r="C596" s="9"/>
      <c r="D596" s="9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</row>
    <row r="597" spans="1:47" ht="13.2" x14ac:dyDescent="0.25">
      <c r="A597" s="28"/>
      <c r="B597" s="28"/>
      <c r="C597" s="9"/>
      <c r="D597" s="9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</row>
    <row r="598" spans="1:47" ht="13.2" x14ac:dyDescent="0.25">
      <c r="A598" s="28"/>
      <c r="B598" s="28"/>
      <c r="C598" s="9"/>
      <c r="D598" s="9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</row>
    <row r="599" spans="1:47" ht="13.2" x14ac:dyDescent="0.25">
      <c r="A599" s="28"/>
      <c r="B599" s="28"/>
      <c r="C599" s="9"/>
      <c r="D599" s="9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</row>
    <row r="600" spans="1:47" ht="13.2" x14ac:dyDescent="0.25">
      <c r="A600" s="28"/>
      <c r="B600" s="28"/>
      <c r="C600" s="9"/>
      <c r="D600" s="9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</row>
    <row r="601" spans="1:47" ht="13.2" x14ac:dyDescent="0.25">
      <c r="A601" s="28"/>
      <c r="B601" s="28"/>
      <c r="C601" s="9"/>
      <c r="D601" s="9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</row>
    <row r="602" spans="1:47" ht="13.2" x14ac:dyDescent="0.25">
      <c r="A602" s="28"/>
      <c r="B602" s="28"/>
      <c r="C602" s="9"/>
      <c r="D602" s="9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</row>
    <row r="603" spans="1:47" ht="13.2" x14ac:dyDescent="0.25">
      <c r="A603" s="28"/>
      <c r="B603" s="28"/>
      <c r="C603" s="9"/>
      <c r="D603" s="9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</row>
    <row r="604" spans="1:47" ht="13.2" x14ac:dyDescent="0.25">
      <c r="A604" s="28"/>
      <c r="B604" s="28"/>
      <c r="C604" s="9"/>
      <c r="D604" s="9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</row>
    <row r="605" spans="1:47" ht="13.2" x14ac:dyDescent="0.25">
      <c r="A605" s="28"/>
      <c r="B605" s="28"/>
      <c r="C605" s="9"/>
      <c r="D605" s="9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</row>
    <row r="606" spans="1:47" ht="13.2" x14ac:dyDescent="0.25">
      <c r="A606" s="28"/>
      <c r="B606" s="28"/>
      <c r="C606" s="9"/>
      <c r="D606" s="9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</row>
    <row r="607" spans="1:47" ht="13.2" x14ac:dyDescent="0.25">
      <c r="A607" s="28"/>
      <c r="B607" s="28"/>
      <c r="C607" s="9"/>
      <c r="D607" s="9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</row>
    <row r="608" spans="1:47" ht="13.2" x14ac:dyDescent="0.25">
      <c r="A608" s="28"/>
      <c r="B608" s="28"/>
      <c r="C608" s="9"/>
      <c r="D608" s="9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</row>
    <row r="609" spans="1:47" ht="13.2" x14ac:dyDescent="0.25">
      <c r="A609" s="28"/>
      <c r="B609" s="28"/>
      <c r="C609" s="9"/>
      <c r="D609" s="9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</row>
    <row r="610" spans="1:47" ht="13.2" x14ac:dyDescent="0.25">
      <c r="A610" s="28"/>
      <c r="B610" s="28"/>
      <c r="C610" s="9"/>
      <c r="D610" s="9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</row>
    <row r="611" spans="1:47" ht="13.2" x14ac:dyDescent="0.25">
      <c r="A611" s="28"/>
      <c r="B611" s="28"/>
      <c r="C611" s="9"/>
      <c r="D611" s="9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</row>
    <row r="612" spans="1:47" ht="13.2" x14ac:dyDescent="0.25">
      <c r="A612" s="28"/>
      <c r="B612" s="28"/>
      <c r="C612" s="9"/>
      <c r="D612" s="9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</row>
    <row r="613" spans="1:47" ht="13.2" x14ac:dyDescent="0.25">
      <c r="A613" s="28"/>
      <c r="B613" s="28"/>
      <c r="C613" s="9"/>
      <c r="D613" s="9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</row>
    <row r="614" spans="1:47" ht="13.2" x14ac:dyDescent="0.25">
      <c r="A614" s="28"/>
      <c r="B614" s="28"/>
      <c r="C614" s="9"/>
      <c r="D614" s="9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</row>
    <row r="615" spans="1:47" ht="13.2" x14ac:dyDescent="0.25">
      <c r="A615" s="28"/>
      <c r="B615" s="28"/>
      <c r="C615" s="9"/>
      <c r="D615" s="9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</row>
    <row r="616" spans="1:47" ht="13.2" x14ac:dyDescent="0.25">
      <c r="A616" s="28"/>
      <c r="B616" s="28"/>
      <c r="C616" s="9"/>
      <c r="D616" s="9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</row>
    <row r="617" spans="1:47" ht="13.2" x14ac:dyDescent="0.25">
      <c r="A617" s="28"/>
      <c r="B617" s="28"/>
      <c r="C617" s="9"/>
      <c r="D617" s="9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</row>
    <row r="618" spans="1:47" ht="13.2" x14ac:dyDescent="0.25">
      <c r="A618" s="28"/>
      <c r="B618" s="28"/>
      <c r="C618" s="9"/>
      <c r="D618" s="9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</row>
    <row r="619" spans="1:47" ht="13.2" x14ac:dyDescent="0.25">
      <c r="A619" s="28"/>
      <c r="B619" s="28"/>
      <c r="C619" s="9"/>
      <c r="D619" s="9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</row>
    <row r="620" spans="1:47" ht="13.2" x14ac:dyDescent="0.25">
      <c r="A620" s="28"/>
      <c r="B620" s="28"/>
      <c r="C620" s="9"/>
      <c r="D620" s="9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</row>
    <row r="621" spans="1:47" ht="13.2" x14ac:dyDescent="0.25">
      <c r="A621" s="28"/>
      <c r="B621" s="28"/>
      <c r="C621" s="9"/>
      <c r="D621" s="9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</row>
    <row r="622" spans="1:47" ht="13.2" x14ac:dyDescent="0.25">
      <c r="A622" s="28"/>
      <c r="B622" s="28"/>
      <c r="C622" s="9"/>
      <c r="D622" s="9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</row>
    <row r="623" spans="1:47" ht="13.2" x14ac:dyDescent="0.25">
      <c r="A623" s="28"/>
      <c r="B623" s="28"/>
      <c r="C623" s="9"/>
      <c r="D623" s="9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</row>
    <row r="624" spans="1:47" ht="13.2" x14ac:dyDescent="0.25">
      <c r="A624" s="28"/>
      <c r="B624" s="28"/>
      <c r="C624" s="9"/>
      <c r="D624" s="9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</row>
    <row r="625" spans="1:47" ht="13.2" x14ac:dyDescent="0.25">
      <c r="A625" s="28"/>
      <c r="B625" s="28"/>
      <c r="C625" s="9"/>
      <c r="D625" s="9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</row>
    <row r="626" spans="1:47" ht="13.2" x14ac:dyDescent="0.25">
      <c r="A626" s="28"/>
      <c r="B626" s="28"/>
      <c r="C626" s="9"/>
      <c r="D626" s="9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</row>
    <row r="627" spans="1:47" ht="13.2" x14ac:dyDescent="0.25">
      <c r="A627" s="28"/>
      <c r="B627" s="28"/>
      <c r="C627" s="9"/>
      <c r="D627" s="9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</row>
    <row r="628" spans="1:47" ht="13.2" x14ac:dyDescent="0.25">
      <c r="A628" s="28"/>
      <c r="B628" s="28"/>
      <c r="C628" s="9"/>
      <c r="D628" s="9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</row>
    <row r="629" spans="1:47" ht="13.2" x14ac:dyDescent="0.25">
      <c r="A629" s="28"/>
      <c r="B629" s="28"/>
      <c r="C629" s="9"/>
      <c r="D629" s="9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</row>
    <row r="630" spans="1:47" ht="13.2" x14ac:dyDescent="0.25">
      <c r="A630" s="28"/>
      <c r="B630" s="28"/>
      <c r="C630" s="9"/>
      <c r="D630" s="9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</row>
    <row r="631" spans="1:47" ht="13.2" x14ac:dyDescent="0.25">
      <c r="A631" s="28"/>
      <c r="B631" s="28"/>
      <c r="C631" s="9"/>
      <c r="D631" s="9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</row>
    <row r="632" spans="1:47" ht="13.2" x14ac:dyDescent="0.25">
      <c r="A632" s="28"/>
      <c r="B632" s="28"/>
      <c r="C632" s="9"/>
      <c r="D632" s="9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</row>
    <row r="633" spans="1:47" ht="13.2" x14ac:dyDescent="0.25">
      <c r="A633" s="28"/>
      <c r="B633" s="28"/>
      <c r="C633" s="9"/>
      <c r="D633" s="9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</row>
    <row r="634" spans="1:47" ht="13.2" x14ac:dyDescent="0.25">
      <c r="A634" s="28"/>
      <c r="B634" s="28"/>
      <c r="C634" s="9"/>
      <c r="D634" s="9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</row>
    <row r="635" spans="1:47" ht="13.2" x14ac:dyDescent="0.25">
      <c r="A635" s="28"/>
      <c r="B635" s="28"/>
      <c r="C635" s="9"/>
      <c r="D635" s="9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</row>
    <row r="636" spans="1:47" ht="13.2" x14ac:dyDescent="0.25">
      <c r="A636" s="28"/>
      <c r="B636" s="28"/>
      <c r="C636" s="9"/>
      <c r="D636" s="9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</row>
    <row r="637" spans="1:47" ht="13.2" x14ac:dyDescent="0.25">
      <c r="A637" s="28"/>
      <c r="B637" s="28"/>
      <c r="C637" s="9"/>
      <c r="D637" s="9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</row>
    <row r="638" spans="1:47" ht="13.2" x14ac:dyDescent="0.25">
      <c r="A638" s="28"/>
      <c r="B638" s="28"/>
      <c r="C638" s="9"/>
      <c r="D638" s="9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</row>
    <row r="639" spans="1:47" ht="13.2" x14ac:dyDescent="0.25">
      <c r="A639" s="28"/>
      <c r="B639" s="28"/>
      <c r="C639" s="9"/>
      <c r="D639" s="9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</row>
    <row r="640" spans="1:47" ht="13.2" x14ac:dyDescent="0.25">
      <c r="A640" s="28"/>
      <c r="B640" s="28"/>
      <c r="C640" s="9"/>
      <c r="D640" s="9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</row>
    <row r="641" spans="1:47" ht="13.2" x14ac:dyDescent="0.25">
      <c r="A641" s="28"/>
      <c r="B641" s="28"/>
      <c r="C641" s="9"/>
      <c r="D641" s="9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</row>
    <row r="642" spans="1:47" ht="13.2" x14ac:dyDescent="0.25">
      <c r="A642" s="28"/>
      <c r="B642" s="28"/>
      <c r="C642" s="9"/>
      <c r="D642" s="9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</row>
    <row r="643" spans="1:47" ht="13.2" x14ac:dyDescent="0.25">
      <c r="A643" s="28"/>
      <c r="B643" s="28"/>
      <c r="C643" s="9"/>
      <c r="D643" s="9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</row>
    <row r="644" spans="1:47" ht="13.2" x14ac:dyDescent="0.25">
      <c r="A644" s="28"/>
      <c r="B644" s="28"/>
      <c r="C644" s="9"/>
      <c r="D644" s="9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</row>
    <row r="645" spans="1:47" ht="13.2" x14ac:dyDescent="0.25">
      <c r="A645" s="28"/>
      <c r="B645" s="28"/>
      <c r="C645" s="9"/>
      <c r="D645" s="9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</row>
    <row r="646" spans="1:47" ht="13.2" x14ac:dyDescent="0.25">
      <c r="A646" s="28"/>
      <c r="B646" s="28"/>
      <c r="C646" s="9"/>
      <c r="D646" s="9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</row>
    <row r="647" spans="1:47" ht="13.2" x14ac:dyDescent="0.25">
      <c r="A647" s="28"/>
      <c r="B647" s="28"/>
      <c r="C647" s="9"/>
      <c r="D647" s="9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</row>
    <row r="648" spans="1:47" ht="13.2" x14ac:dyDescent="0.25">
      <c r="A648" s="28"/>
      <c r="B648" s="28"/>
      <c r="C648" s="9"/>
      <c r="D648" s="9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</row>
    <row r="649" spans="1:47" ht="13.2" x14ac:dyDescent="0.25">
      <c r="A649" s="28"/>
      <c r="B649" s="28"/>
      <c r="C649" s="9"/>
      <c r="D649" s="9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</row>
    <row r="650" spans="1:47" ht="13.2" x14ac:dyDescent="0.25">
      <c r="A650" s="28"/>
      <c r="B650" s="28"/>
      <c r="C650" s="9"/>
      <c r="D650" s="9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</row>
    <row r="651" spans="1:47" ht="13.2" x14ac:dyDescent="0.25">
      <c r="A651" s="28"/>
      <c r="B651" s="28"/>
      <c r="C651" s="9"/>
      <c r="D651" s="9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</row>
    <row r="652" spans="1:47" ht="13.2" x14ac:dyDescent="0.25">
      <c r="A652" s="28"/>
      <c r="B652" s="28"/>
      <c r="C652" s="9"/>
      <c r="D652" s="9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</row>
    <row r="653" spans="1:47" ht="13.2" x14ac:dyDescent="0.25">
      <c r="A653" s="28"/>
      <c r="B653" s="28"/>
      <c r="C653" s="9"/>
      <c r="D653" s="9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</row>
    <row r="654" spans="1:47" ht="13.2" x14ac:dyDescent="0.25">
      <c r="A654" s="28"/>
      <c r="B654" s="28"/>
      <c r="C654" s="9"/>
      <c r="D654" s="9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</row>
    <row r="655" spans="1:47" ht="13.2" x14ac:dyDescent="0.25">
      <c r="A655" s="28"/>
      <c r="B655" s="28"/>
      <c r="C655" s="9"/>
      <c r="D655" s="9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</row>
    <row r="656" spans="1:47" ht="13.2" x14ac:dyDescent="0.25">
      <c r="A656" s="28"/>
      <c r="B656" s="28"/>
      <c r="C656" s="9"/>
      <c r="D656" s="9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</row>
    <row r="657" spans="1:47" ht="13.2" x14ac:dyDescent="0.25">
      <c r="A657" s="28"/>
      <c r="B657" s="28"/>
      <c r="C657" s="9"/>
      <c r="D657" s="9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</row>
    <row r="658" spans="1:47" ht="13.2" x14ac:dyDescent="0.25">
      <c r="A658" s="28"/>
      <c r="B658" s="28"/>
      <c r="C658" s="9"/>
      <c r="D658" s="9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</row>
    <row r="659" spans="1:47" ht="13.2" x14ac:dyDescent="0.25">
      <c r="A659" s="28"/>
      <c r="B659" s="28"/>
      <c r="C659" s="9"/>
      <c r="D659" s="9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</row>
    <row r="660" spans="1:47" ht="13.2" x14ac:dyDescent="0.25">
      <c r="A660" s="28"/>
      <c r="B660" s="28"/>
      <c r="C660" s="9"/>
      <c r="D660" s="9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</row>
    <row r="661" spans="1:47" ht="13.2" x14ac:dyDescent="0.25">
      <c r="A661" s="28"/>
      <c r="B661" s="28"/>
      <c r="C661" s="9"/>
      <c r="D661" s="9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</row>
    <row r="662" spans="1:47" ht="13.2" x14ac:dyDescent="0.25">
      <c r="A662" s="28"/>
      <c r="B662" s="28"/>
      <c r="C662" s="9"/>
      <c r="D662" s="9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</row>
    <row r="663" spans="1:47" ht="13.2" x14ac:dyDescent="0.25">
      <c r="A663" s="28"/>
      <c r="B663" s="28"/>
      <c r="C663" s="9"/>
      <c r="D663" s="9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</row>
    <row r="664" spans="1:47" ht="13.2" x14ac:dyDescent="0.25">
      <c r="A664" s="28"/>
      <c r="B664" s="28"/>
      <c r="C664" s="9"/>
      <c r="D664" s="9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</row>
    <row r="665" spans="1:47" ht="13.2" x14ac:dyDescent="0.25">
      <c r="A665" s="28"/>
      <c r="B665" s="28"/>
      <c r="C665" s="9"/>
      <c r="D665" s="9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</row>
    <row r="666" spans="1:47" ht="13.2" x14ac:dyDescent="0.25">
      <c r="A666" s="28"/>
      <c r="B666" s="28"/>
      <c r="C666" s="9"/>
      <c r="D666" s="9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</row>
    <row r="667" spans="1:47" ht="13.2" x14ac:dyDescent="0.25">
      <c r="A667" s="28"/>
      <c r="B667" s="28"/>
      <c r="C667" s="9"/>
      <c r="D667" s="9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</row>
    <row r="668" spans="1:47" ht="13.2" x14ac:dyDescent="0.25">
      <c r="A668" s="28"/>
      <c r="B668" s="28"/>
      <c r="C668" s="9"/>
      <c r="D668" s="9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</row>
    <row r="669" spans="1:47" ht="13.2" x14ac:dyDescent="0.25">
      <c r="A669" s="28"/>
      <c r="B669" s="28"/>
      <c r="C669" s="9"/>
      <c r="D669" s="9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</row>
    <row r="670" spans="1:47" ht="13.2" x14ac:dyDescent="0.25">
      <c r="A670" s="28"/>
      <c r="B670" s="28"/>
      <c r="C670" s="9"/>
      <c r="D670" s="9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</row>
    <row r="671" spans="1:47" ht="13.2" x14ac:dyDescent="0.25">
      <c r="A671" s="28"/>
      <c r="B671" s="28"/>
      <c r="C671" s="9"/>
      <c r="D671" s="9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</row>
    <row r="672" spans="1:47" ht="13.2" x14ac:dyDescent="0.25">
      <c r="A672" s="28"/>
      <c r="B672" s="28"/>
      <c r="C672" s="9"/>
      <c r="D672" s="9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</row>
    <row r="673" spans="1:47" ht="13.2" x14ac:dyDescent="0.25">
      <c r="A673" s="28"/>
      <c r="B673" s="28"/>
      <c r="C673" s="9"/>
      <c r="D673" s="9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</row>
    <row r="674" spans="1:47" ht="13.2" x14ac:dyDescent="0.25">
      <c r="A674" s="28"/>
      <c r="B674" s="28"/>
      <c r="C674" s="9"/>
      <c r="D674" s="9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</row>
    <row r="675" spans="1:47" ht="13.2" x14ac:dyDescent="0.25">
      <c r="A675" s="28"/>
      <c r="B675" s="28"/>
      <c r="C675" s="9"/>
      <c r="D675" s="9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</row>
    <row r="676" spans="1:47" ht="13.2" x14ac:dyDescent="0.25">
      <c r="A676" s="28"/>
      <c r="B676" s="28"/>
      <c r="C676" s="9"/>
      <c r="D676" s="9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</row>
    <row r="677" spans="1:47" ht="13.2" x14ac:dyDescent="0.25">
      <c r="A677" s="28"/>
      <c r="B677" s="28"/>
      <c r="C677" s="9"/>
      <c r="D677" s="9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</row>
    <row r="678" spans="1:47" ht="13.2" x14ac:dyDescent="0.25">
      <c r="A678" s="28"/>
      <c r="B678" s="28"/>
      <c r="C678" s="9"/>
      <c r="D678" s="9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</row>
    <row r="679" spans="1:47" ht="13.2" x14ac:dyDescent="0.25">
      <c r="A679" s="28"/>
      <c r="B679" s="28"/>
      <c r="C679" s="9"/>
      <c r="D679" s="9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</row>
    <row r="680" spans="1:47" ht="13.2" x14ac:dyDescent="0.25">
      <c r="A680" s="28"/>
      <c r="B680" s="28"/>
      <c r="C680" s="9"/>
      <c r="D680" s="9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</row>
    <row r="681" spans="1:47" ht="13.2" x14ac:dyDescent="0.25">
      <c r="A681" s="28"/>
      <c r="B681" s="28"/>
      <c r="C681" s="9"/>
      <c r="D681" s="9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</row>
    <row r="682" spans="1:47" ht="13.2" x14ac:dyDescent="0.25">
      <c r="A682" s="28"/>
      <c r="B682" s="28"/>
      <c r="C682" s="9"/>
      <c r="D682" s="9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</row>
    <row r="683" spans="1:47" ht="13.2" x14ac:dyDescent="0.25">
      <c r="A683" s="28"/>
      <c r="B683" s="28"/>
      <c r="C683" s="9"/>
      <c r="D683" s="9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</row>
    <row r="684" spans="1:47" ht="13.2" x14ac:dyDescent="0.25">
      <c r="A684" s="28"/>
      <c r="B684" s="28"/>
      <c r="C684" s="9"/>
      <c r="D684" s="9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</row>
    <row r="685" spans="1:47" ht="13.2" x14ac:dyDescent="0.25">
      <c r="A685" s="28"/>
      <c r="B685" s="28"/>
      <c r="C685" s="9"/>
      <c r="D685" s="9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</row>
    <row r="686" spans="1:47" ht="13.2" x14ac:dyDescent="0.25">
      <c r="A686" s="28"/>
      <c r="B686" s="28"/>
      <c r="C686" s="9"/>
      <c r="D686" s="9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</row>
    <row r="687" spans="1:47" ht="13.2" x14ac:dyDescent="0.25">
      <c r="A687" s="28"/>
      <c r="B687" s="28"/>
      <c r="C687" s="9"/>
      <c r="D687" s="9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</row>
    <row r="688" spans="1:47" ht="13.2" x14ac:dyDescent="0.25">
      <c r="A688" s="28"/>
      <c r="B688" s="28"/>
      <c r="C688" s="9"/>
      <c r="D688" s="9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</row>
    <row r="689" spans="1:47" ht="13.2" x14ac:dyDescent="0.25">
      <c r="A689" s="28"/>
      <c r="B689" s="28"/>
      <c r="C689" s="9"/>
      <c r="D689" s="9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</row>
    <row r="690" spans="1:47" ht="13.2" x14ac:dyDescent="0.25">
      <c r="A690" s="28"/>
      <c r="B690" s="28"/>
      <c r="C690" s="9"/>
      <c r="D690" s="9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</row>
    <row r="691" spans="1:47" ht="13.2" x14ac:dyDescent="0.25">
      <c r="A691" s="28"/>
      <c r="B691" s="28"/>
      <c r="C691" s="9"/>
      <c r="D691" s="9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</row>
    <row r="692" spans="1:47" ht="13.2" x14ac:dyDescent="0.25">
      <c r="A692" s="28"/>
      <c r="B692" s="28"/>
      <c r="C692" s="9"/>
      <c r="D692" s="9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</row>
    <row r="693" spans="1:47" ht="13.2" x14ac:dyDescent="0.25">
      <c r="A693" s="28"/>
      <c r="B693" s="28"/>
      <c r="C693" s="9"/>
      <c r="D693" s="9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</row>
    <row r="694" spans="1:47" ht="13.2" x14ac:dyDescent="0.25">
      <c r="A694" s="28"/>
      <c r="B694" s="28"/>
      <c r="C694" s="9"/>
      <c r="D694" s="9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</row>
    <row r="695" spans="1:47" ht="13.2" x14ac:dyDescent="0.25">
      <c r="A695" s="28"/>
      <c r="B695" s="28"/>
      <c r="C695" s="9"/>
      <c r="D695" s="9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</row>
    <row r="696" spans="1:47" ht="13.2" x14ac:dyDescent="0.25">
      <c r="A696" s="28"/>
      <c r="B696" s="28"/>
      <c r="C696" s="9"/>
      <c r="D696" s="9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</row>
    <row r="697" spans="1:47" ht="13.2" x14ac:dyDescent="0.25">
      <c r="A697" s="28"/>
      <c r="B697" s="28"/>
      <c r="C697" s="9"/>
      <c r="D697" s="9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</row>
    <row r="698" spans="1:47" ht="13.2" x14ac:dyDescent="0.25">
      <c r="A698" s="28"/>
      <c r="B698" s="28"/>
      <c r="C698" s="9"/>
      <c r="D698" s="9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</row>
    <row r="699" spans="1:47" ht="13.2" x14ac:dyDescent="0.25">
      <c r="A699" s="28"/>
      <c r="B699" s="28"/>
      <c r="C699" s="9"/>
      <c r="D699" s="9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</row>
    <row r="700" spans="1:47" ht="13.2" x14ac:dyDescent="0.25">
      <c r="A700" s="28"/>
      <c r="B700" s="28"/>
      <c r="C700" s="9"/>
      <c r="D700" s="9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</row>
    <row r="701" spans="1:47" ht="13.2" x14ac:dyDescent="0.25">
      <c r="A701" s="28"/>
      <c r="B701" s="28"/>
      <c r="C701" s="9"/>
      <c r="D701" s="9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</row>
    <row r="702" spans="1:47" ht="13.2" x14ac:dyDescent="0.25">
      <c r="A702" s="28"/>
      <c r="B702" s="28"/>
      <c r="C702" s="9"/>
      <c r="D702" s="9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</row>
    <row r="703" spans="1:47" ht="13.2" x14ac:dyDescent="0.25">
      <c r="A703" s="28"/>
      <c r="B703" s="28"/>
      <c r="C703" s="9"/>
      <c r="D703" s="9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</row>
    <row r="704" spans="1:47" ht="13.2" x14ac:dyDescent="0.25">
      <c r="A704" s="28"/>
      <c r="B704" s="28"/>
      <c r="C704" s="9"/>
      <c r="D704" s="9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</row>
    <row r="705" spans="1:47" ht="13.2" x14ac:dyDescent="0.25">
      <c r="A705" s="28"/>
      <c r="B705" s="28"/>
      <c r="C705" s="9"/>
      <c r="D705" s="9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</row>
    <row r="706" spans="1:47" ht="13.2" x14ac:dyDescent="0.25">
      <c r="A706" s="28"/>
      <c r="B706" s="28"/>
      <c r="C706" s="9"/>
      <c r="D706" s="9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</row>
    <row r="707" spans="1:47" ht="13.2" x14ac:dyDescent="0.25">
      <c r="A707" s="28"/>
      <c r="B707" s="28"/>
      <c r="C707" s="9"/>
      <c r="D707" s="9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</row>
    <row r="708" spans="1:47" ht="13.2" x14ac:dyDescent="0.25">
      <c r="A708" s="28"/>
      <c r="B708" s="28"/>
      <c r="C708" s="9"/>
      <c r="D708" s="9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</row>
    <row r="709" spans="1:47" ht="13.2" x14ac:dyDescent="0.25">
      <c r="A709" s="28"/>
      <c r="B709" s="28"/>
      <c r="C709" s="9"/>
      <c r="D709" s="9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</row>
    <row r="710" spans="1:47" ht="13.2" x14ac:dyDescent="0.25">
      <c r="A710" s="28"/>
      <c r="B710" s="28"/>
      <c r="C710" s="9"/>
      <c r="D710" s="9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</row>
    <row r="711" spans="1:47" ht="13.2" x14ac:dyDescent="0.25">
      <c r="A711" s="28"/>
      <c r="B711" s="28"/>
      <c r="C711" s="9"/>
      <c r="D711" s="9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</row>
    <row r="712" spans="1:47" ht="13.2" x14ac:dyDescent="0.25">
      <c r="A712" s="28"/>
      <c r="B712" s="28"/>
      <c r="C712" s="9"/>
      <c r="D712" s="9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</row>
    <row r="713" spans="1:47" ht="13.2" x14ac:dyDescent="0.25">
      <c r="A713" s="28"/>
      <c r="B713" s="28"/>
      <c r="C713" s="9"/>
      <c r="D713" s="9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</row>
    <row r="714" spans="1:47" ht="13.2" x14ac:dyDescent="0.25">
      <c r="A714" s="28"/>
      <c r="B714" s="28"/>
      <c r="C714" s="9"/>
      <c r="D714" s="9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</row>
    <row r="715" spans="1:47" ht="13.2" x14ac:dyDescent="0.25">
      <c r="A715" s="28"/>
      <c r="B715" s="28"/>
      <c r="C715" s="9"/>
      <c r="D715" s="9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</row>
    <row r="716" spans="1:47" ht="13.2" x14ac:dyDescent="0.25">
      <c r="A716" s="28"/>
      <c r="B716" s="28"/>
      <c r="C716" s="9"/>
      <c r="D716" s="9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</row>
    <row r="717" spans="1:47" ht="13.2" x14ac:dyDescent="0.25">
      <c r="A717" s="28"/>
      <c r="B717" s="28"/>
      <c r="C717" s="9"/>
      <c r="D717" s="9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</row>
    <row r="718" spans="1:47" ht="13.2" x14ac:dyDescent="0.25">
      <c r="A718" s="28"/>
      <c r="B718" s="28"/>
      <c r="C718" s="9"/>
      <c r="D718" s="9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</row>
    <row r="719" spans="1:47" ht="13.2" x14ac:dyDescent="0.25">
      <c r="A719" s="28"/>
      <c r="B719" s="28"/>
      <c r="C719" s="9"/>
      <c r="D719" s="9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</row>
    <row r="720" spans="1:47" ht="13.2" x14ac:dyDescent="0.25">
      <c r="A720" s="28"/>
      <c r="B720" s="28"/>
      <c r="C720" s="9"/>
      <c r="D720" s="9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</row>
    <row r="721" spans="1:47" ht="13.2" x14ac:dyDescent="0.25">
      <c r="A721" s="28"/>
      <c r="B721" s="28"/>
      <c r="C721" s="9"/>
      <c r="D721" s="9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</row>
    <row r="722" spans="1:47" ht="13.2" x14ac:dyDescent="0.25">
      <c r="A722" s="28"/>
      <c r="B722" s="28"/>
      <c r="C722" s="9"/>
      <c r="D722" s="9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</row>
    <row r="723" spans="1:47" ht="13.2" x14ac:dyDescent="0.25">
      <c r="A723" s="28"/>
      <c r="B723" s="28"/>
      <c r="C723" s="9"/>
      <c r="D723" s="9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</row>
    <row r="724" spans="1:47" ht="13.2" x14ac:dyDescent="0.25">
      <c r="A724" s="28"/>
      <c r="B724" s="28"/>
      <c r="C724" s="9"/>
      <c r="D724" s="9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</row>
    <row r="725" spans="1:47" ht="13.2" x14ac:dyDescent="0.25">
      <c r="A725" s="28"/>
      <c r="B725" s="28"/>
      <c r="C725" s="9"/>
      <c r="D725" s="9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</row>
    <row r="726" spans="1:47" ht="13.2" x14ac:dyDescent="0.25">
      <c r="A726" s="28"/>
      <c r="B726" s="28"/>
      <c r="C726" s="9"/>
      <c r="D726" s="9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</row>
    <row r="727" spans="1:47" ht="13.2" x14ac:dyDescent="0.25">
      <c r="A727" s="28"/>
      <c r="B727" s="28"/>
      <c r="C727" s="9"/>
      <c r="D727" s="9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</row>
    <row r="728" spans="1:47" ht="13.2" x14ac:dyDescent="0.25">
      <c r="A728" s="28"/>
      <c r="B728" s="28"/>
      <c r="C728" s="9"/>
      <c r="D728" s="9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</row>
    <row r="729" spans="1:47" ht="13.2" x14ac:dyDescent="0.25">
      <c r="A729" s="28"/>
      <c r="B729" s="28"/>
      <c r="C729" s="9"/>
      <c r="D729" s="9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</row>
    <row r="730" spans="1:47" ht="13.2" x14ac:dyDescent="0.25">
      <c r="A730" s="28"/>
      <c r="B730" s="28"/>
      <c r="C730" s="9"/>
      <c r="D730" s="9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</row>
    <row r="731" spans="1:47" ht="13.2" x14ac:dyDescent="0.25">
      <c r="A731" s="28"/>
      <c r="B731" s="28"/>
      <c r="C731" s="9"/>
      <c r="D731" s="9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</row>
    <row r="732" spans="1:47" ht="13.2" x14ac:dyDescent="0.25">
      <c r="A732" s="28"/>
      <c r="B732" s="28"/>
      <c r="C732" s="9"/>
      <c r="D732" s="9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</row>
    <row r="733" spans="1:47" ht="13.2" x14ac:dyDescent="0.25">
      <c r="A733" s="28"/>
      <c r="B733" s="28"/>
      <c r="C733" s="9"/>
      <c r="D733" s="9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</row>
    <row r="734" spans="1:47" ht="13.2" x14ac:dyDescent="0.25">
      <c r="A734" s="28"/>
      <c r="B734" s="28"/>
      <c r="C734" s="9"/>
      <c r="D734" s="9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</row>
    <row r="735" spans="1:47" ht="13.2" x14ac:dyDescent="0.25">
      <c r="A735" s="28"/>
      <c r="B735" s="28"/>
      <c r="C735" s="9"/>
      <c r="D735" s="9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</row>
    <row r="736" spans="1:47" ht="13.2" x14ac:dyDescent="0.25">
      <c r="A736" s="28"/>
      <c r="B736" s="28"/>
      <c r="C736" s="9"/>
      <c r="D736" s="9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</row>
    <row r="737" spans="1:47" ht="13.2" x14ac:dyDescent="0.25">
      <c r="A737" s="28"/>
      <c r="B737" s="28"/>
      <c r="C737" s="9"/>
      <c r="D737" s="9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</row>
    <row r="738" spans="1:47" ht="13.2" x14ac:dyDescent="0.25">
      <c r="A738" s="28"/>
      <c r="B738" s="28"/>
      <c r="C738" s="9"/>
      <c r="D738" s="9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</row>
    <row r="739" spans="1:47" ht="13.2" x14ac:dyDescent="0.25">
      <c r="A739" s="28"/>
      <c r="B739" s="28"/>
      <c r="C739" s="9"/>
      <c r="D739" s="9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</row>
    <row r="740" spans="1:47" ht="13.2" x14ac:dyDescent="0.25">
      <c r="A740" s="28"/>
      <c r="B740" s="28"/>
      <c r="C740" s="9"/>
      <c r="D740" s="9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</row>
    <row r="741" spans="1:47" ht="13.2" x14ac:dyDescent="0.25">
      <c r="A741" s="28"/>
      <c r="B741" s="28"/>
      <c r="C741" s="9"/>
      <c r="D741" s="9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</row>
    <row r="742" spans="1:47" ht="13.2" x14ac:dyDescent="0.25">
      <c r="A742" s="28"/>
      <c r="B742" s="28"/>
      <c r="C742" s="9"/>
      <c r="D742" s="9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</row>
    <row r="743" spans="1:47" ht="13.2" x14ac:dyDescent="0.25">
      <c r="A743" s="28"/>
      <c r="B743" s="28"/>
      <c r="C743" s="9"/>
      <c r="D743" s="9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</row>
    <row r="744" spans="1:47" ht="13.2" x14ac:dyDescent="0.25">
      <c r="A744" s="28"/>
      <c r="B744" s="28"/>
      <c r="C744" s="9"/>
      <c r="D744" s="9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</row>
    <row r="745" spans="1:47" ht="13.2" x14ac:dyDescent="0.25">
      <c r="A745" s="28"/>
      <c r="B745" s="28"/>
      <c r="C745" s="9"/>
      <c r="D745" s="9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</row>
    <row r="746" spans="1:47" ht="13.2" x14ac:dyDescent="0.25">
      <c r="A746" s="28"/>
      <c r="B746" s="28"/>
      <c r="C746" s="9"/>
      <c r="D746" s="9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</row>
    <row r="747" spans="1:47" ht="13.2" x14ac:dyDescent="0.25">
      <c r="A747" s="28"/>
      <c r="B747" s="28"/>
      <c r="C747" s="9"/>
      <c r="D747" s="9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</row>
    <row r="748" spans="1:47" ht="13.2" x14ac:dyDescent="0.25">
      <c r="A748" s="28"/>
      <c r="B748" s="28"/>
      <c r="C748" s="9"/>
      <c r="D748" s="9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</row>
    <row r="749" spans="1:47" ht="13.2" x14ac:dyDescent="0.25">
      <c r="A749" s="28"/>
      <c r="B749" s="28"/>
      <c r="C749" s="9"/>
      <c r="D749" s="9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</row>
    <row r="750" spans="1:47" ht="13.2" x14ac:dyDescent="0.25">
      <c r="A750" s="28"/>
      <c r="B750" s="28"/>
      <c r="C750" s="9"/>
      <c r="D750" s="9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</row>
    <row r="751" spans="1:47" ht="13.2" x14ac:dyDescent="0.25">
      <c r="A751" s="28"/>
      <c r="B751" s="28"/>
      <c r="C751" s="9"/>
      <c r="D751" s="9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</row>
    <row r="752" spans="1:47" ht="13.2" x14ac:dyDescent="0.25">
      <c r="A752" s="28"/>
      <c r="B752" s="28"/>
      <c r="C752" s="9"/>
      <c r="D752" s="9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</row>
    <row r="753" spans="1:47" ht="13.2" x14ac:dyDescent="0.25">
      <c r="A753" s="28"/>
      <c r="B753" s="28"/>
      <c r="C753" s="9"/>
      <c r="D753" s="9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</row>
    <row r="754" spans="1:47" ht="13.2" x14ac:dyDescent="0.25">
      <c r="A754" s="28"/>
      <c r="B754" s="28"/>
      <c r="C754" s="9"/>
      <c r="D754" s="9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</row>
    <row r="755" spans="1:47" ht="13.2" x14ac:dyDescent="0.25">
      <c r="A755" s="28"/>
      <c r="B755" s="28"/>
      <c r="C755" s="9"/>
      <c r="D755" s="9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</row>
    <row r="756" spans="1:47" ht="13.2" x14ac:dyDescent="0.25">
      <c r="A756" s="28"/>
      <c r="B756" s="28"/>
      <c r="C756" s="9"/>
      <c r="D756" s="9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</row>
    <row r="757" spans="1:47" ht="13.2" x14ac:dyDescent="0.25">
      <c r="A757" s="28"/>
      <c r="B757" s="28"/>
      <c r="C757" s="9"/>
      <c r="D757" s="9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</row>
    <row r="758" spans="1:47" ht="13.2" x14ac:dyDescent="0.25">
      <c r="A758" s="28"/>
      <c r="B758" s="28"/>
      <c r="C758" s="9"/>
      <c r="D758" s="9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</row>
    <row r="759" spans="1:47" ht="13.2" x14ac:dyDescent="0.25">
      <c r="A759" s="28"/>
      <c r="B759" s="28"/>
      <c r="C759" s="9"/>
      <c r="D759" s="9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</row>
    <row r="760" spans="1:47" ht="13.2" x14ac:dyDescent="0.25">
      <c r="A760" s="28"/>
      <c r="B760" s="28"/>
      <c r="C760" s="9"/>
      <c r="D760" s="9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</row>
    <row r="761" spans="1:47" ht="13.2" x14ac:dyDescent="0.25">
      <c r="A761" s="28"/>
      <c r="B761" s="28"/>
      <c r="C761" s="9"/>
      <c r="D761" s="9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</row>
    <row r="762" spans="1:47" ht="13.2" x14ac:dyDescent="0.25">
      <c r="A762" s="28"/>
      <c r="B762" s="28"/>
      <c r="C762" s="9"/>
      <c r="D762" s="9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</row>
    <row r="763" spans="1:47" ht="13.2" x14ac:dyDescent="0.25">
      <c r="A763" s="28"/>
      <c r="B763" s="28"/>
      <c r="C763" s="9"/>
      <c r="D763" s="9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</row>
    <row r="764" spans="1:47" ht="13.2" x14ac:dyDescent="0.25">
      <c r="A764" s="28"/>
      <c r="B764" s="28"/>
      <c r="C764" s="9"/>
      <c r="D764" s="9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</row>
    <row r="765" spans="1:47" ht="13.2" x14ac:dyDescent="0.25">
      <c r="A765" s="28"/>
      <c r="B765" s="28"/>
      <c r="C765" s="9"/>
      <c r="D765" s="9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</row>
    <row r="766" spans="1:47" ht="13.2" x14ac:dyDescent="0.25">
      <c r="A766" s="28"/>
      <c r="B766" s="28"/>
      <c r="C766" s="9"/>
      <c r="D766" s="9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</row>
    <row r="767" spans="1:47" ht="13.2" x14ac:dyDescent="0.25">
      <c r="A767" s="28"/>
      <c r="B767" s="28"/>
      <c r="C767" s="9"/>
      <c r="D767" s="9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</row>
    <row r="768" spans="1:47" ht="13.2" x14ac:dyDescent="0.25">
      <c r="A768" s="28"/>
      <c r="B768" s="28"/>
      <c r="C768" s="9"/>
      <c r="D768" s="9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</row>
    <row r="769" spans="1:47" ht="13.2" x14ac:dyDescent="0.25">
      <c r="A769" s="28"/>
      <c r="B769" s="28"/>
      <c r="C769" s="9"/>
      <c r="D769" s="9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</row>
    <row r="770" spans="1:47" ht="13.2" x14ac:dyDescent="0.25">
      <c r="A770" s="28"/>
      <c r="B770" s="28"/>
      <c r="C770" s="9"/>
      <c r="D770" s="9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</row>
    <row r="771" spans="1:47" ht="13.2" x14ac:dyDescent="0.25">
      <c r="A771" s="28"/>
      <c r="B771" s="28"/>
      <c r="C771" s="9"/>
      <c r="D771" s="9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</row>
    <row r="772" spans="1:47" ht="13.2" x14ac:dyDescent="0.25">
      <c r="A772" s="28"/>
      <c r="B772" s="28"/>
      <c r="C772" s="9"/>
      <c r="D772" s="9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</row>
    <row r="773" spans="1:47" ht="13.2" x14ac:dyDescent="0.25">
      <c r="A773" s="28"/>
      <c r="B773" s="28"/>
      <c r="C773" s="9"/>
      <c r="D773" s="9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</row>
    <row r="774" spans="1:47" ht="13.2" x14ac:dyDescent="0.25">
      <c r="A774" s="28"/>
      <c r="B774" s="28"/>
      <c r="C774" s="9"/>
      <c r="D774" s="9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</row>
    <row r="775" spans="1:47" ht="13.2" x14ac:dyDescent="0.25">
      <c r="A775" s="28"/>
      <c r="B775" s="28"/>
      <c r="C775" s="9"/>
      <c r="D775" s="9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</row>
    <row r="776" spans="1:47" ht="13.2" x14ac:dyDescent="0.25">
      <c r="A776" s="28"/>
      <c r="B776" s="28"/>
      <c r="C776" s="9"/>
      <c r="D776" s="9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</row>
    <row r="777" spans="1:47" ht="13.2" x14ac:dyDescent="0.25">
      <c r="A777" s="28"/>
      <c r="B777" s="28"/>
      <c r="C777" s="9"/>
      <c r="D777" s="9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</row>
    <row r="778" spans="1:47" ht="13.2" x14ac:dyDescent="0.25">
      <c r="A778" s="28"/>
      <c r="B778" s="28"/>
      <c r="C778" s="9"/>
      <c r="D778" s="9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</row>
    <row r="779" spans="1:47" ht="13.2" x14ac:dyDescent="0.25">
      <c r="A779" s="28"/>
      <c r="B779" s="28"/>
      <c r="C779" s="9"/>
      <c r="D779" s="9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</row>
    <row r="780" spans="1:47" ht="13.2" x14ac:dyDescent="0.25">
      <c r="A780" s="28"/>
      <c r="B780" s="28"/>
      <c r="C780" s="9"/>
      <c r="D780" s="9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</row>
    <row r="781" spans="1:47" ht="13.2" x14ac:dyDescent="0.25">
      <c r="A781" s="28"/>
      <c r="B781" s="28"/>
      <c r="C781" s="9"/>
      <c r="D781" s="9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</row>
    <row r="782" spans="1:47" ht="13.2" x14ac:dyDescent="0.25">
      <c r="A782" s="28"/>
      <c r="B782" s="28"/>
      <c r="C782" s="9"/>
      <c r="D782" s="9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</row>
    <row r="783" spans="1:47" ht="13.2" x14ac:dyDescent="0.25">
      <c r="A783" s="28"/>
      <c r="B783" s="28"/>
      <c r="C783" s="9"/>
      <c r="D783" s="9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</row>
    <row r="784" spans="1:47" ht="13.2" x14ac:dyDescent="0.25">
      <c r="A784" s="28"/>
      <c r="B784" s="28"/>
      <c r="C784" s="9"/>
      <c r="D784" s="9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</row>
    <row r="785" spans="1:47" ht="13.2" x14ac:dyDescent="0.25">
      <c r="A785" s="28"/>
      <c r="B785" s="28"/>
      <c r="C785" s="9"/>
      <c r="D785" s="9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</row>
    <row r="786" spans="1:47" ht="13.2" x14ac:dyDescent="0.25">
      <c r="A786" s="28"/>
      <c r="B786" s="28"/>
      <c r="C786" s="9"/>
      <c r="D786" s="9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</row>
    <row r="787" spans="1:47" ht="13.2" x14ac:dyDescent="0.25">
      <c r="A787" s="28"/>
      <c r="B787" s="28"/>
      <c r="C787" s="9"/>
      <c r="D787" s="9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</row>
    <row r="788" spans="1:47" ht="13.2" x14ac:dyDescent="0.25">
      <c r="A788" s="28"/>
      <c r="B788" s="28"/>
      <c r="C788" s="9"/>
      <c r="D788" s="9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</row>
    <row r="789" spans="1:47" ht="13.2" x14ac:dyDescent="0.25">
      <c r="A789" s="28"/>
      <c r="B789" s="28"/>
      <c r="C789" s="9"/>
      <c r="D789" s="9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</row>
    <row r="790" spans="1:47" ht="13.2" x14ac:dyDescent="0.25">
      <c r="A790" s="28"/>
      <c r="B790" s="28"/>
      <c r="C790" s="9"/>
      <c r="D790" s="9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</row>
    <row r="791" spans="1:47" ht="13.2" x14ac:dyDescent="0.25">
      <c r="A791" s="28"/>
      <c r="B791" s="28"/>
      <c r="C791" s="9"/>
      <c r="D791" s="9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</row>
    <row r="792" spans="1:47" ht="13.2" x14ac:dyDescent="0.25">
      <c r="A792" s="28"/>
      <c r="B792" s="28"/>
      <c r="C792" s="9"/>
      <c r="D792" s="9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</row>
    <row r="793" spans="1:47" ht="13.2" x14ac:dyDescent="0.25">
      <c r="A793" s="28"/>
      <c r="B793" s="28"/>
      <c r="C793" s="9"/>
      <c r="D793" s="9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</row>
    <row r="794" spans="1:47" ht="13.2" x14ac:dyDescent="0.25">
      <c r="A794" s="28"/>
      <c r="B794" s="28"/>
      <c r="C794" s="9"/>
      <c r="D794" s="9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</row>
    <row r="795" spans="1:47" ht="13.2" x14ac:dyDescent="0.25">
      <c r="A795" s="28"/>
      <c r="B795" s="28"/>
      <c r="C795" s="9"/>
      <c r="D795" s="9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</row>
    <row r="796" spans="1:47" ht="13.2" x14ac:dyDescent="0.25">
      <c r="A796" s="28"/>
      <c r="B796" s="28"/>
      <c r="C796" s="9"/>
      <c r="D796" s="9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</row>
    <row r="797" spans="1:47" ht="13.2" x14ac:dyDescent="0.25">
      <c r="A797" s="28"/>
      <c r="B797" s="28"/>
      <c r="C797" s="9"/>
      <c r="D797" s="9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</row>
    <row r="798" spans="1:47" ht="13.2" x14ac:dyDescent="0.25">
      <c r="A798" s="28"/>
      <c r="B798" s="28"/>
      <c r="C798" s="9"/>
      <c r="D798" s="9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</row>
    <row r="799" spans="1:47" ht="13.2" x14ac:dyDescent="0.25">
      <c r="A799" s="28"/>
      <c r="B799" s="28"/>
      <c r="C799" s="9"/>
      <c r="D799" s="9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</row>
    <row r="800" spans="1:47" ht="13.2" x14ac:dyDescent="0.25">
      <c r="A800" s="28"/>
      <c r="B800" s="28"/>
      <c r="C800" s="9"/>
      <c r="D800" s="9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</row>
    <row r="801" spans="1:47" ht="13.2" x14ac:dyDescent="0.25">
      <c r="A801" s="28"/>
      <c r="B801" s="28"/>
      <c r="C801" s="9"/>
      <c r="D801" s="9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</row>
    <row r="802" spans="1:47" ht="13.2" x14ac:dyDescent="0.25">
      <c r="A802" s="28"/>
      <c r="B802" s="28"/>
      <c r="C802" s="9"/>
      <c r="D802" s="9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</row>
    <row r="803" spans="1:47" ht="13.2" x14ac:dyDescent="0.25">
      <c r="A803" s="28"/>
      <c r="B803" s="28"/>
      <c r="C803" s="9"/>
      <c r="D803" s="9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</row>
    <row r="804" spans="1:47" ht="13.2" x14ac:dyDescent="0.25">
      <c r="A804" s="28"/>
      <c r="B804" s="28"/>
      <c r="C804" s="9"/>
      <c r="D804" s="9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</row>
    <row r="805" spans="1:47" ht="13.2" x14ac:dyDescent="0.25">
      <c r="A805" s="28"/>
      <c r="B805" s="28"/>
      <c r="C805" s="9"/>
      <c r="D805" s="9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</row>
    <row r="806" spans="1:47" ht="13.2" x14ac:dyDescent="0.25">
      <c r="A806" s="28"/>
      <c r="B806" s="28"/>
      <c r="C806" s="9"/>
      <c r="D806" s="9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</row>
    <row r="807" spans="1:47" ht="13.2" x14ac:dyDescent="0.25">
      <c r="A807" s="28"/>
      <c r="B807" s="28"/>
      <c r="C807" s="9"/>
      <c r="D807" s="9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</row>
    <row r="808" spans="1:47" ht="13.2" x14ac:dyDescent="0.25">
      <c r="A808" s="28"/>
      <c r="B808" s="28"/>
      <c r="C808" s="9"/>
      <c r="D808" s="9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</row>
    <row r="809" spans="1:47" ht="13.2" x14ac:dyDescent="0.25">
      <c r="A809" s="28"/>
      <c r="B809" s="28"/>
      <c r="C809" s="9"/>
      <c r="D809" s="9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</row>
    <row r="810" spans="1:47" ht="13.2" x14ac:dyDescent="0.25">
      <c r="A810" s="28"/>
      <c r="B810" s="28"/>
      <c r="C810" s="9"/>
      <c r="D810" s="9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</row>
    <row r="811" spans="1:47" ht="13.2" x14ac:dyDescent="0.25">
      <c r="A811" s="28"/>
      <c r="B811" s="28"/>
      <c r="C811" s="9"/>
      <c r="D811" s="9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</row>
    <row r="812" spans="1:47" ht="13.2" x14ac:dyDescent="0.25">
      <c r="A812" s="28"/>
      <c r="B812" s="28"/>
      <c r="C812" s="9"/>
      <c r="D812" s="9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</row>
    <row r="813" spans="1:47" ht="13.2" x14ac:dyDescent="0.25">
      <c r="A813" s="28"/>
      <c r="B813" s="28"/>
      <c r="C813" s="9"/>
      <c r="D813" s="9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</row>
    <row r="814" spans="1:47" ht="13.2" x14ac:dyDescent="0.25">
      <c r="A814" s="28"/>
      <c r="B814" s="28"/>
      <c r="C814" s="9"/>
      <c r="D814" s="9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</row>
    <row r="815" spans="1:47" ht="13.2" x14ac:dyDescent="0.25">
      <c r="A815" s="28"/>
      <c r="B815" s="28"/>
      <c r="C815" s="9"/>
      <c r="D815" s="9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</row>
    <row r="816" spans="1:47" ht="13.2" x14ac:dyDescent="0.25">
      <c r="A816" s="28"/>
      <c r="B816" s="28"/>
      <c r="C816" s="9"/>
      <c r="D816" s="9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</row>
    <row r="817" spans="1:47" ht="13.2" x14ac:dyDescent="0.25">
      <c r="A817" s="28"/>
      <c r="B817" s="28"/>
      <c r="C817" s="9"/>
      <c r="D817" s="9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</row>
    <row r="818" spans="1:47" ht="13.2" x14ac:dyDescent="0.25">
      <c r="A818" s="28"/>
      <c r="B818" s="28"/>
      <c r="C818" s="9"/>
      <c r="D818" s="9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</row>
    <row r="819" spans="1:47" ht="13.2" x14ac:dyDescent="0.25">
      <c r="A819" s="28"/>
      <c r="B819" s="28"/>
      <c r="C819" s="9"/>
      <c r="D819" s="9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</row>
    <row r="820" spans="1:47" ht="13.2" x14ac:dyDescent="0.25">
      <c r="A820" s="28"/>
      <c r="B820" s="28"/>
      <c r="C820" s="9"/>
      <c r="D820" s="9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</row>
    <row r="821" spans="1:47" ht="13.2" x14ac:dyDescent="0.25">
      <c r="A821" s="28"/>
      <c r="B821" s="28"/>
      <c r="C821" s="9"/>
      <c r="D821" s="9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</row>
    <row r="822" spans="1:47" ht="13.2" x14ac:dyDescent="0.25">
      <c r="A822" s="28"/>
      <c r="B822" s="28"/>
      <c r="C822" s="9"/>
      <c r="D822" s="9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</row>
    <row r="823" spans="1:47" ht="13.2" x14ac:dyDescent="0.25">
      <c r="A823" s="28"/>
      <c r="B823" s="28"/>
      <c r="C823" s="9"/>
      <c r="D823" s="9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</row>
    <row r="824" spans="1:47" ht="13.2" x14ac:dyDescent="0.25">
      <c r="A824" s="28"/>
      <c r="B824" s="28"/>
      <c r="C824" s="9"/>
      <c r="D824" s="9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</row>
    <row r="825" spans="1:47" ht="13.2" x14ac:dyDescent="0.25">
      <c r="A825" s="28"/>
      <c r="B825" s="28"/>
      <c r="C825" s="9"/>
      <c r="D825" s="9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</row>
    <row r="826" spans="1:47" ht="13.2" x14ac:dyDescent="0.25">
      <c r="A826" s="28"/>
      <c r="B826" s="28"/>
      <c r="C826" s="9"/>
      <c r="D826" s="9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</row>
    <row r="827" spans="1:47" ht="13.2" x14ac:dyDescent="0.25">
      <c r="A827" s="28"/>
      <c r="B827" s="28"/>
      <c r="C827" s="9"/>
      <c r="D827" s="9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</row>
    <row r="828" spans="1:47" ht="13.2" x14ac:dyDescent="0.25">
      <c r="A828" s="28"/>
      <c r="B828" s="28"/>
      <c r="C828" s="9"/>
      <c r="D828" s="9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</row>
    <row r="829" spans="1:47" ht="13.2" x14ac:dyDescent="0.25">
      <c r="A829" s="28"/>
      <c r="B829" s="28"/>
      <c r="C829" s="9"/>
      <c r="D829" s="9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</row>
    <row r="830" spans="1:47" ht="13.2" x14ac:dyDescent="0.25">
      <c r="A830" s="28"/>
      <c r="B830" s="28"/>
      <c r="C830" s="9"/>
      <c r="D830" s="9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</row>
    <row r="831" spans="1:47" ht="13.2" x14ac:dyDescent="0.25">
      <c r="A831" s="28"/>
      <c r="B831" s="28"/>
      <c r="C831" s="9"/>
      <c r="D831" s="9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</row>
    <row r="832" spans="1:47" ht="13.2" x14ac:dyDescent="0.25">
      <c r="A832" s="28"/>
      <c r="B832" s="28"/>
      <c r="C832" s="9"/>
      <c r="D832" s="9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</row>
    <row r="833" spans="1:47" ht="13.2" x14ac:dyDescent="0.25">
      <c r="A833" s="28"/>
      <c r="B833" s="28"/>
      <c r="C833" s="9"/>
      <c r="D833" s="9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</row>
    <row r="834" spans="1:47" ht="13.2" x14ac:dyDescent="0.25">
      <c r="A834" s="28"/>
      <c r="B834" s="28"/>
      <c r="C834" s="9"/>
      <c r="D834" s="9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</row>
    <row r="835" spans="1:47" ht="13.2" x14ac:dyDescent="0.25">
      <c r="A835" s="28"/>
      <c r="B835" s="28"/>
      <c r="C835" s="9"/>
      <c r="D835" s="9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</row>
    <row r="836" spans="1:47" ht="13.2" x14ac:dyDescent="0.25">
      <c r="A836" s="28"/>
      <c r="B836" s="28"/>
      <c r="C836" s="9"/>
      <c r="D836" s="9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</row>
    <row r="837" spans="1:47" ht="13.2" x14ac:dyDescent="0.25">
      <c r="A837" s="28"/>
      <c r="B837" s="28"/>
      <c r="C837" s="9"/>
      <c r="D837" s="9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</row>
    <row r="838" spans="1:47" ht="13.2" x14ac:dyDescent="0.25">
      <c r="A838" s="28"/>
      <c r="B838" s="28"/>
      <c r="C838" s="9"/>
      <c r="D838" s="9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</row>
    <row r="839" spans="1:47" ht="13.2" x14ac:dyDescent="0.25">
      <c r="A839" s="28"/>
      <c r="B839" s="28"/>
      <c r="C839" s="9"/>
      <c r="D839" s="9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</row>
    <row r="840" spans="1:47" ht="13.2" x14ac:dyDescent="0.25">
      <c r="A840" s="28"/>
      <c r="B840" s="28"/>
      <c r="C840" s="9"/>
      <c r="D840" s="9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</row>
    <row r="841" spans="1:47" ht="13.2" x14ac:dyDescent="0.25">
      <c r="A841" s="28"/>
      <c r="B841" s="28"/>
      <c r="C841" s="9"/>
      <c r="D841" s="9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</row>
    <row r="842" spans="1:47" ht="13.2" x14ac:dyDescent="0.25">
      <c r="A842" s="28"/>
      <c r="B842" s="28"/>
      <c r="C842" s="9"/>
      <c r="D842" s="9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</row>
    <row r="843" spans="1:47" ht="13.2" x14ac:dyDescent="0.25">
      <c r="A843" s="28"/>
      <c r="B843" s="28"/>
      <c r="C843" s="9"/>
      <c r="D843" s="9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</row>
    <row r="844" spans="1:47" ht="13.2" x14ac:dyDescent="0.25">
      <c r="A844" s="28"/>
      <c r="B844" s="28"/>
      <c r="C844" s="9"/>
      <c r="D844" s="9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</row>
    <row r="845" spans="1:47" ht="13.2" x14ac:dyDescent="0.25">
      <c r="A845" s="28"/>
      <c r="B845" s="28"/>
      <c r="C845" s="9"/>
      <c r="D845" s="9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</row>
    <row r="846" spans="1:47" ht="13.2" x14ac:dyDescent="0.25">
      <c r="A846" s="28"/>
      <c r="B846" s="28"/>
      <c r="C846" s="9"/>
      <c r="D846" s="9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</row>
    <row r="847" spans="1:47" ht="13.2" x14ac:dyDescent="0.25">
      <c r="A847" s="28"/>
      <c r="B847" s="28"/>
      <c r="C847" s="9"/>
      <c r="D847" s="9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</row>
    <row r="848" spans="1:47" ht="13.2" x14ac:dyDescent="0.25">
      <c r="A848" s="28"/>
      <c r="B848" s="28"/>
      <c r="C848" s="9"/>
      <c r="D848" s="9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</row>
    <row r="849" spans="1:47" ht="13.2" x14ac:dyDescent="0.25">
      <c r="A849" s="28"/>
      <c r="B849" s="28"/>
      <c r="C849" s="9"/>
      <c r="D849" s="9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</row>
    <row r="850" spans="1:47" ht="13.2" x14ac:dyDescent="0.25">
      <c r="A850" s="28"/>
      <c r="B850" s="28"/>
      <c r="C850" s="9"/>
      <c r="D850" s="9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</row>
    <row r="851" spans="1:47" ht="13.2" x14ac:dyDescent="0.25">
      <c r="A851" s="28"/>
      <c r="B851" s="28"/>
      <c r="C851" s="9"/>
      <c r="D851" s="9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</row>
    <row r="852" spans="1:47" ht="13.2" x14ac:dyDescent="0.25">
      <c r="A852" s="28"/>
      <c r="B852" s="28"/>
      <c r="C852" s="9"/>
      <c r="D852" s="9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</row>
    <row r="853" spans="1:47" ht="13.2" x14ac:dyDescent="0.25">
      <c r="A853" s="28"/>
      <c r="B853" s="28"/>
      <c r="C853" s="9"/>
      <c r="D853" s="9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</row>
    <row r="854" spans="1:47" ht="13.2" x14ac:dyDescent="0.25">
      <c r="A854" s="28"/>
      <c r="B854" s="28"/>
      <c r="C854" s="9"/>
      <c r="D854" s="9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</row>
    <row r="855" spans="1:47" ht="13.2" x14ac:dyDescent="0.25">
      <c r="A855" s="28"/>
      <c r="B855" s="28"/>
      <c r="C855" s="9"/>
      <c r="D855" s="9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</row>
    <row r="856" spans="1:47" ht="13.2" x14ac:dyDescent="0.25">
      <c r="A856" s="28"/>
      <c r="B856" s="28"/>
      <c r="C856" s="9"/>
      <c r="D856" s="9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</row>
    <row r="857" spans="1:47" ht="13.2" x14ac:dyDescent="0.25">
      <c r="A857" s="28"/>
      <c r="B857" s="28"/>
      <c r="C857" s="9"/>
      <c r="D857" s="9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</row>
    <row r="858" spans="1:47" ht="13.2" x14ac:dyDescent="0.25">
      <c r="A858" s="28"/>
      <c r="B858" s="28"/>
      <c r="C858" s="9"/>
      <c r="D858" s="9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</row>
    <row r="859" spans="1:47" ht="13.2" x14ac:dyDescent="0.25">
      <c r="A859" s="28"/>
      <c r="B859" s="28"/>
      <c r="C859" s="9"/>
      <c r="D859" s="9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</row>
    <row r="860" spans="1:47" ht="13.2" x14ac:dyDescent="0.25">
      <c r="A860" s="28"/>
      <c r="B860" s="28"/>
      <c r="C860" s="9"/>
      <c r="D860" s="9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</row>
    <row r="861" spans="1:47" ht="13.2" x14ac:dyDescent="0.25">
      <c r="A861" s="28"/>
      <c r="B861" s="28"/>
      <c r="C861" s="9"/>
      <c r="D861" s="9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</row>
    <row r="862" spans="1:47" ht="13.2" x14ac:dyDescent="0.25">
      <c r="A862" s="28"/>
      <c r="B862" s="28"/>
      <c r="C862" s="9"/>
      <c r="D862" s="9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</row>
    <row r="863" spans="1:47" ht="13.2" x14ac:dyDescent="0.25">
      <c r="A863" s="28"/>
      <c r="B863" s="28"/>
      <c r="C863" s="9"/>
      <c r="D863" s="9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</row>
    <row r="864" spans="1:47" ht="13.2" x14ac:dyDescent="0.25">
      <c r="A864" s="28"/>
      <c r="B864" s="28"/>
      <c r="C864" s="9"/>
      <c r="D864" s="9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</row>
    <row r="865" spans="1:47" ht="13.2" x14ac:dyDescent="0.25">
      <c r="A865" s="28"/>
      <c r="B865" s="28"/>
      <c r="C865" s="9"/>
      <c r="D865" s="9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</row>
    <row r="866" spans="1:47" ht="13.2" x14ac:dyDescent="0.25">
      <c r="A866" s="28"/>
      <c r="B866" s="28"/>
      <c r="C866" s="9"/>
      <c r="D866" s="9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</row>
    <row r="867" spans="1:47" ht="13.2" x14ac:dyDescent="0.25">
      <c r="A867" s="28"/>
      <c r="B867" s="28"/>
      <c r="C867" s="9"/>
      <c r="D867" s="9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</row>
    <row r="868" spans="1:47" ht="13.2" x14ac:dyDescent="0.25">
      <c r="A868" s="28"/>
      <c r="B868" s="28"/>
      <c r="C868" s="9"/>
      <c r="D868" s="9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</row>
    <row r="869" spans="1:47" ht="13.2" x14ac:dyDescent="0.25">
      <c r="A869" s="28"/>
      <c r="B869" s="28"/>
      <c r="C869" s="9"/>
      <c r="D869" s="9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</row>
    <row r="870" spans="1:47" ht="13.2" x14ac:dyDescent="0.25">
      <c r="A870" s="28"/>
      <c r="B870" s="28"/>
      <c r="C870" s="9"/>
      <c r="D870" s="9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</row>
    <row r="871" spans="1:47" ht="13.2" x14ac:dyDescent="0.25">
      <c r="A871" s="28"/>
      <c r="B871" s="28"/>
      <c r="C871" s="9"/>
      <c r="D871" s="9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</row>
    <row r="872" spans="1:47" ht="13.2" x14ac:dyDescent="0.25">
      <c r="A872" s="28"/>
      <c r="B872" s="28"/>
      <c r="C872" s="9"/>
      <c r="D872" s="9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</row>
    <row r="873" spans="1:47" ht="13.2" x14ac:dyDescent="0.25">
      <c r="A873" s="28"/>
      <c r="B873" s="28"/>
      <c r="C873" s="9"/>
      <c r="D873" s="9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</row>
    <row r="874" spans="1:47" ht="13.2" x14ac:dyDescent="0.25">
      <c r="A874" s="28"/>
      <c r="B874" s="28"/>
      <c r="C874" s="9"/>
      <c r="D874" s="9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</row>
    <row r="875" spans="1:47" ht="13.2" x14ac:dyDescent="0.25">
      <c r="A875" s="28"/>
      <c r="B875" s="28"/>
      <c r="C875" s="9"/>
      <c r="D875" s="9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</row>
    <row r="876" spans="1:47" ht="13.2" x14ac:dyDescent="0.25">
      <c r="A876" s="28"/>
      <c r="B876" s="28"/>
      <c r="C876" s="9"/>
      <c r="D876" s="9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</row>
    <row r="877" spans="1:47" ht="13.2" x14ac:dyDescent="0.25">
      <c r="A877" s="28"/>
      <c r="B877" s="28"/>
      <c r="C877" s="9"/>
      <c r="D877" s="9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</row>
    <row r="878" spans="1:47" ht="13.2" x14ac:dyDescent="0.25">
      <c r="A878" s="28"/>
      <c r="B878" s="28"/>
      <c r="C878" s="9"/>
      <c r="D878" s="9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</row>
    <row r="879" spans="1:47" ht="13.2" x14ac:dyDescent="0.25">
      <c r="A879" s="28"/>
      <c r="B879" s="28"/>
      <c r="C879" s="9"/>
      <c r="D879" s="9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</row>
    <row r="880" spans="1:47" ht="13.2" x14ac:dyDescent="0.25">
      <c r="A880" s="28"/>
      <c r="B880" s="28"/>
      <c r="C880" s="9"/>
      <c r="D880" s="9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</row>
    <row r="881" spans="1:47" ht="13.2" x14ac:dyDescent="0.25">
      <c r="A881" s="28"/>
      <c r="B881" s="28"/>
      <c r="C881" s="9"/>
      <c r="D881" s="9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</row>
    <row r="882" spans="1:47" ht="13.2" x14ac:dyDescent="0.25">
      <c r="A882" s="28"/>
      <c r="B882" s="28"/>
      <c r="C882" s="9"/>
      <c r="D882" s="9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</row>
    <row r="883" spans="1:47" ht="13.2" x14ac:dyDescent="0.25">
      <c r="A883" s="28"/>
      <c r="B883" s="28"/>
      <c r="C883" s="9"/>
      <c r="D883" s="9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</row>
    <row r="884" spans="1:47" ht="13.2" x14ac:dyDescent="0.25">
      <c r="A884" s="28"/>
      <c r="B884" s="28"/>
      <c r="C884" s="9"/>
      <c r="D884" s="9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</row>
    <row r="885" spans="1:47" ht="13.2" x14ac:dyDescent="0.25">
      <c r="A885" s="28"/>
      <c r="B885" s="28"/>
      <c r="C885" s="9"/>
      <c r="D885" s="9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</row>
    <row r="886" spans="1:47" ht="13.2" x14ac:dyDescent="0.25">
      <c r="A886" s="28"/>
      <c r="B886" s="28"/>
      <c r="C886" s="9"/>
      <c r="D886" s="9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</row>
    <row r="887" spans="1:47" ht="13.2" x14ac:dyDescent="0.25">
      <c r="A887" s="28"/>
      <c r="B887" s="28"/>
      <c r="C887" s="9"/>
      <c r="D887" s="9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</row>
    <row r="888" spans="1:47" ht="13.2" x14ac:dyDescent="0.25">
      <c r="A888" s="28"/>
      <c r="B888" s="28"/>
      <c r="C888" s="9"/>
      <c r="D888" s="9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</row>
    <row r="889" spans="1:47" ht="13.2" x14ac:dyDescent="0.25">
      <c r="A889" s="28"/>
      <c r="B889" s="28"/>
      <c r="C889" s="9"/>
      <c r="D889" s="9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</row>
    <row r="890" spans="1:47" ht="13.2" x14ac:dyDescent="0.25">
      <c r="A890" s="28"/>
      <c r="B890" s="28"/>
      <c r="C890" s="9"/>
      <c r="D890" s="9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</row>
    <row r="891" spans="1:47" ht="13.2" x14ac:dyDescent="0.25">
      <c r="A891" s="28"/>
      <c r="B891" s="28"/>
      <c r="C891" s="9"/>
      <c r="D891" s="9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</row>
    <row r="892" spans="1:47" ht="13.2" x14ac:dyDescent="0.25">
      <c r="A892" s="28"/>
      <c r="B892" s="28"/>
      <c r="C892" s="9"/>
      <c r="D892" s="9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</row>
    <row r="893" spans="1:47" ht="13.2" x14ac:dyDescent="0.25">
      <c r="A893" s="28"/>
      <c r="B893" s="28"/>
      <c r="C893" s="9"/>
      <c r="D893" s="9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</row>
    <row r="894" spans="1:47" ht="13.2" x14ac:dyDescent="0.25">
      <c r="A894" s="28"/>
      <c r="B894" s="28"/>
      <c r="C894" s="9"/>
      <c r="D894" s="9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</row>
    <row r="895" spans="1:47" ht="13.2" x14ac:dyDescent="0.25">
      <c r="A895" s="28"/>
      <c r="B895" s="28"/>
      <c r="C895" s="9"/>
      <c r="D895" s="9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</row>
    <row r="896" spans="1:47" ht="13.2" x14ac:dyDescent="0.25">
      <c r="A896" s="28"/>
      <c r="B896" s="28"/>
      <c r="C896" s="9"/>
      <c r="D896" s="9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</row>
    <row r="897" spans="1:47" ht="13.2" x14ac:dyDescent="0.25">
      <c r="A897" s="28"/>
      <c r="B897" s="28"/>
      <c r="C897" s="9"/>
      <c r="D897" s="9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</row>
    <row r="898" spans="1:47" ht="13.2" x14ac:dyDescent="0.25">
      <c r="A898" s="28"/>
      <c r="B898" s="28"/>
      <c r="C898" s="9"/>
      <c r="D898" s="9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</row>
    <row r="899" spans="1:47" ht="13.2" x14ac:dyDescent="0.25">
      <c r="A899" s="28"/>
      <c r="B899" s="28"/>
      <c r="C899" s="9"/>
      <c r="D899" s="9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</row>
    <row r="900" spans="1:47" ht="13.2" x14ac:dyDescent="0.25">
      <c r="A900" s="28"/>
      <c r="B900" s="28"/>
      <c r="C900" s="9"/>
      <c r="D900" s="9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</row>
    <row r="901" spans="1:47" ht="13.2" x14ac:dyDescent="0.25">
      <c r="A901" s="28"/>
      <c r="B901" s="28"/>
      <c r="C901" s="9"/>
      <c r="D901" s="9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</row>
    <row r="902" spans="1:47" ht="13.2" x14ac:dyDescent="0.25">
      <c r="A902" s="28"/>
      <c r="B902" s="28"/>
      <c r="C902" s="9"/>
      <c r="D902" s="9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</row>
    <row r="903" spans="1:47" ht="13.2" x14ac:dyDescent="0.25">
      <c r="A903" s="28"/>
      <c r="B903" s="28"/>
      <c r="C903" s="9"/>
      <c r="D903" s="9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</row>
    <row r="904" spans="1:47" ht="13.2" x14ac:dyDescent="0.25">
      <c r="A904" s="28"/>
      <c r="B904" s="28"/>
      <c r="C904" s="9"/>
      <c r="D904" s="9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</row>
    <row r="905" spans="1:47" ht="13.2" x14ac:dyDescent="0.25">
      <c r="A905" s="28"/>
      <c r="B905" s="28"/>
      <c r="C905" s="9"/>
      <c r="D905" s="9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</row>
    <row r="906" spans="1:47" ht="13.2" x14ac:dyDescent="0.25">
      <c r="A906" s="28"/>
      <c r="B906" s="28"/>
      <c r="C906" s="9"/>
      <c r="D906" s="9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</row>
    <row r="907" spans="1:47" ht="13.2" x14ac:dyDescent="0.25">
      <c r="A907" s="28"/>
      <c r="B907" s="28"/>
      <c r="C907" s="9"/>
      <c r="D907" s="9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</row>
    <row r="908" spans="1:47" ht="13.2" x14ac:dyDescent="0.25">
      <c r="A908" s="28"/>
      <c r="B908" s="28"/>
      <c r="C908" s="9"/>
      <c r="D908" s="9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</row>
    <row r="909" spans="1:47" ht="13.2" x14ac:dyDescent="0.25">
      <c r="A909" s="28"/>
      <c r="B909" s="28"/>
      <c r="C909" s="9"/>
      <c r="D909" s="9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</row>
    <row r="910" spans="1:47" ht="13.2" x14ac:dyDescent="0.25">
      <c r="A910" s="28"/>
      <c r="B910" s="28"/>
      <c r="C910" s="9"/>
      <c r="D910" s="9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</row>
    <row r="911" spans="1:47" ht="13.2" x14ac:dyDescent="0.25">
      <c r="A911" s="28"/>
      <c r="B911" s="28"/>
      <c r="C911" s="9"/>
      <c r="D911" s="9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</row>
    <row r="912" spans="1:47" ht="13.2" x14ac:dyDescent="0.25">
      <c r="A912" s="28"/>
      <c r="B912" s="28"/>
      <c r="C912" s="9"/>
      <c r="D912" s="9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</row>
    <row r="913" spans="1:47" ht="13.2" x14ac:dyDescent="0.25">
      <c r="A913" s="28"/>
      <c r="B913" s="28"/>
      <c r="C913" s="9"/>
      <c r="D913" s="9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</row>
    <row r="914" spans="1:47" ht="13.2" x14ac:dyDescent="0.25">
      <c r="A914" s="28"/>
      <c r="B914" s="28"/>
      <c r="C914" s="9"/>
      <c r="D914" s="9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</row>
    <row r="915" spans="1:47" ht="13.2" x14ac:dyDescent="0.25">
      <c r="A915" s="28"/>
      <c r="B915" s="28"/>
      <c r="C915" s="9"/>
      <c r="D915" s="9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</row>
    <row r="916" spans="1:47" ht="13.2" x14ac:dyDescent="0.25">
      <c r="A916" s="28"/>
      <c r="B916" s="28"/>
      <c r="C916" s="9"/>
      <c r="D916" s="9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</row>
    <row r="917" spans="1:47" ht="13.2" x14ac:dyDescent="0.25">
      <c r="A917" s="28"/>
      <c r="B917" s="28"/>
      <c r="C917" s="9"/>
      <c r="D917" s="9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</row>
    <row r="918" spans="1:47" ht="13.2" x14ac:dyDescent="0.25">
      <c r="A918" s="28"/>
      <c r="B918" s="28"/>
      <c r="C918" s="9"/>
      <c r="D918" s="9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</row>
    <row r="919" spans="1:47" ht="13.2" x14ac:dyDescent="0.25">
      <c r="A919" s="28"/>
      <c r="B919" s="28"/>
      <c r="C919" s="9"/>
      <c r="D919" s="9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</row>
    <row r="920" spans="1:47" ht="13.2" x14ac:dyDescent="0.25">
      <c r="A920" s="28"/>
      <c r="B920" s="28"/>
      <c r="C920" s="9"/>
      <c r="D920" s="9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</row>
    <row r="921" spans="1:47" ht="13.2" x14ac:dyDescent="0.25">
      <c r="A921" s="28"/>
      <c r="B921" s="28"/>
      <c r="C921" s="9"/>
      <c r="D921" s="9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</row>
    <row r="922" spans="1:47" ht="13.2" x14ac:dyDescent="0.25">
      <c r="A922" s="28"/>
      <c r="B922" s="28"/>
      <c r="C922" s="9"/>
      <c r="D922" s="9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</row>
    <row r="923" spans="1:47" ht="13.2" x14ac:dyDescent="0.25">
      <c r="A923" s="28"/>
      <c r="B923" s="28"/>
      <c r="C923" s="9"/>
      <c r="D923" s="9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</row>
    <row r="924" spans="1:47" ht="13.2" x14ac:dyDescent="0.25">
      <c r="A924" s="28"/>
      <c r="B924" s="28"/>
      <c r="C924" s="9"/>
      <c r="D924" s="9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</row>
    <row r="925" spans="1:47" ht="13.2" x14ac:dyDescent="0.25">
      <c r="A925" s="28"/>
      <c r="B925" s="28"/>
      <c r="C925" s="9"/>
      <c r="D925" s="9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</row>
    <row r="926" spans="1:47" ht="13.2" x14ac:dyDescent="0.25">
      <c r="A926" s="28"/>
      <c r="B926" s="28"/>
      <c r="C926" s="9"/>
      <c r="D926" s="9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</row>
    <row r="927" spans="1:47" ht="13.2" x14ac:dyDescent="0.25">
      <c r="A927" s="28"/>
      <c r="B927" s="28"/>
      <c r="C927" s="9"/>
      <c r="D927" s="9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</row>
    <row r="928" spans="1:47" ht="13.2" x14ac:dyDescent="0.25">
      <c r="A928" s="28"/>
      <c r="B928" s="28"/>
      <c r="C928" s="9"/>
      <c r="D928" s="9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</row>
    <row r="929" spans="1:47" ht="13.2" x14ac:dyDescent="0.25">
      <c r="A929" s="28"/>
      <c r="B929" s="28"/>
      <c r="C929" s="9"/>
      <c r="D929" s="9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</row>
    <row r="930" spans="1:47" ht="13.2" x14ac:dyDescent="0.25">
      <c r="A930" s="28"/>
      <c r="B930" s="28"/>
      <c r="C930" s="9"/>
      <c r="D930" s="9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</row>
    <row r="931" spans="1:47" ht="13.2" x14ac:dyDescent="0.25">
      <c r="A931" s="28"/>
      <c r="B931" s="28"/>
      <c r="C931" s="9"/>
      <c r="D931" s="9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</row>
    <row r="932" spans="1:47" ht="13.2" x14ac:dyDescent="0.25">
      <c r="A932" s="28"/>
      <c r="B932" s="28"/>
      <c r="C932" s="9"/>
      <c r="D932" s="9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</row>
    <row r="933" spans="1:47" ht="13.2" x14ac:dyDescent="0.25">
      <c r="A933" s="28"/>
      <c r="B933" s="28"/>
      <c r="C933" s="9"/>
      <c r="D933" s="9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</row>
    <row r="934" spans="1:47" ht="13.2" x14ac:dyDescent="0.25">
      <c r="A934" s="28"/>
      <c r="B934" s="28"/>
      <c r="C934" s="9"/>
      <c r="D934" s="9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</row>
    <row r="935" spans="1:47" ht="13.2" x14ac:dyDescent="0.25">
      <c r="A935" s="28"/>
      <c r="B935" s="28"/>
      <c r="C935" s="9"/>
      <c r="D935" s="9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</row>
    <row r="936" spans="1:47" ht="13.2" x14ac:dyDescent="0.25">
      <c r="A936" s="28"/>
      <c r="B936" s="28"/>
      <c r="C936" s="9"/>
      <c r="D936" s="9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</row>
    <row r="937" spans="1:47" ht="13.2" x14ac:dyDescent="0.25">
      <c r="A937" s="28"/>
      <c r="B937" s="28"/>
      <c r="C937" s="9"/>
      <c r="D937" s="9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</row>
    <row r="938" spans="1:47" ht="13.2" x14ac:dyDescent="0.25">
      <c r="A938" s="28"/>
      <c r="B938" s="28"/>
      <c r="C938" s="9"/>
      <c r="D938" s="9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</row>
    <row r="939" spans="1:47" ht="13.2" x14ac:dyDescent="0.25">
      <c r="A939" s="28"/>
      <c r="B939" s="28"/>
      <c r="C939" s="9"/>
      <c r="D939" s="9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</row>
    <row r="940" spans="1:47" ht="13.2" x14ac:dyDescent="0.25">
      <c r="A940" s="28"/>
      <c r="B940" s="28"/>
      <c r="C940" s="9"/>
      <c r="D940" s="9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</row>
    <row r="941" spans="1:47" ht="13.2" x14ac:dyDescent="0.25">
      <c r="A941" s="28"/>
      <c r="B941" s="28"/>
      <c r="C941" s="9"/>
      <c r="D941" s="9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</row>
    <row r="942" spans="1:47" ht="13.2" x14ac:dyDescent="0.25">
      <c r="A942" s="28"/>
      <c r="B942" s="28"/>
      <c r="C942" s="9"/>
      <c r="D942" s="9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</row>
    <row r="943" spans="1:47" ht="13.2" x14ac:dyDescent="0.25">
      <c r="A943" s="28"/>
      <c r="B943" s="28"/>
      <c r="C943" s="9"/>
      <c r="D943" s="9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</row>
    <row r="944" spans="1:47" ht="13.2" x14ac:dyDescent="0.25">
      <c r="A944" s="28"/>
      <c r="B944" s="28"/>
      <c r="C944" s="9"/>
      <c r="D944" s="9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</row>
    <row r="945" spans="1:47" ht="13.2" x14ac:dyDescent="0.25">
      <c r="A945" s="28"/>
      <c r="B945" s="28"/>
      <c r="C945" s="9"/>
      <c r="D945" s="9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</row>
    <row r="946" spans="1:47" ht="13.2" x14ac:dyDescent="0.25">
      <c r="A946" s="28"/>
      <c r="B946" s="28"/>
      <c r="C946" s="9"/>
      <c r="D946" s="9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</row>
    <row r="947" spans="1:47" ht="13.2" x14ac:dyDescent="0.25">
      <c r="A947" s="28"/>
      <c r="B947" s="28"/>
      <c r="C947" s="9"/>
      <c r="D947" s="9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</row>
    <row r="948" spans="1:47" ht="13.2" x14ac:dyDescent="0.25">
      <c r="A948" s="28"/>
      <c r="B948" s="28"/>
      <c r="C948" s="9"/>
      <c r="D948" s="9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</row>
    <row r="949" spans="1:47" ht="13.2" x14ac:dyDescent="0.25">
      <c r="A949" s="28"/>
      <c r="B949" s="28"/>
      <c r="C949" s="9"/>
      <c r="D949" s="9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</row>
    <row r="950" spans="1:47" ht="13.2" x14ac:dyDescent="0.25">
      <c r="A950" s="28"/>
      <c r="B950" s="28"/>
      <c r="C950" s="9"/>
      <c r="D950" s="9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</row>
    <row r="951" spans="1:47" ht="13.2" x14ac:dyDescent="0.25">
      <c r="A951" s="28"/>
      <c r="B951" s="28"/>
      <c r="C951" s="9"/>
      <c r="D951" s="9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</row>
    <row r="952" spans="1:47" ht="13.2" x14ac:dyDescent="0.25">
      <c r="A952" s="28"/>
      <c r="B952" s="28"/>
      <c r="C952" s="9"/>
      <c r="D952" s="9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</row>
    <row r="953" spans="1:47" ht="13.2" x14ac:dyDescent="0.25">
      <c r="A953" s="28"/>
      <c r="B953" s="28"/>
      <c r="C953" s="9"/>
      <c r="D953" s="9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</row>
    <row r="954" spans="1:47" ht="13.2" x14ac:dyDescent="0.25">
      <c r="A954" s="28"/>
      <c r="B954" s="28"/>
      <c r="C954" s="9"/>
      <c r="D954" s="9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</row>
    <row r="955" spans="1:47" ht="13.2" x14ac:dyDescent="0.25">
      <c r="A955" s="28"/>
      <c r="B955" s="28"/>
      <c r="C955" s="9"/>
      <c r="D955" s="9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</row>
    <row r="956" spans="1:47" ht="13.2" x14ac:dyDescent="0.25">
      <c r="A956" s="28"/>
      <c r="B956" s="28"/>
      <c r="C956" s="9"/>
      <c r="D956" s="9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</row>
    <row r="957" spans="1:47" ht="13.2" x14ac:dyDescent="0.25">
      <c r="A957" s="28"/>
      <c r="B957" s="28"/>
      <c r="C957" s="9"/>
      <c r="D957" s="9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</row>
    <row r="958" spans="1:47" ht="13.2" x14ac:dyDescent="0.25">
      <c r="A958" s="28"/>
      <c r="B958" s="28"/>
      <c r="C958" s="9"/>
      <c r="D958" s="9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</row>
    <row r="959" spans="1:47" ht="13.2" x14ac:dyDescent="0.25">
      <c r="A959" s="28"/>
      <c r="B959" s="28"/>
      <c r="C959" s="9"/>
      <c r="D959" s="9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</row>
    <row r="960" spans="1:47" ht="13.2" x14ac:dyDescent="0.25">
      <c r="A960" s="28"/>
      <c r="B960" s="28"/>
      <c r="C960" s="9"/>
      <c r="D960" s="9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</row>
    <row r="961" spans="1:47" ht="13.2" x14ac:dyDescent="0.25">
      <c r="A961" s="28"/>
      <c r="B961" s="28"/>
      <c r="C961" s="9"/>
      <c r="D961" s="9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</row>
    <row r="962" spans="1:47" ht="13.2" x14ac:dyDescent="0.25">
      <c r="A962" s="28"/>
      <c r="B962" s="28"/>
      <c r="C962" s="9"/>
      <c r="D962" s="9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</row>
    <row r="963" spans="1:47" ht="13.2" x14ac:dyDescent="0.25">
      <c r="A963" s="28"/>
      <c r="B963" s="28"/>
      <c r="C963" s="9"/>
      <c r="D963" s="9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</row>
    <row r="964" spans="1:47" ht="13.2" x14ac:dyDescent="0.25">
      <c r="A964" s="28"/>
      <c r="B964" s="28"/>
      <c r="C964" s="9"/>
      <c r="D964" s="9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</row>
    <row r="965" spans="1:47" ht="13.2" x14ac:dyDescent="0.25">
      <c r="A965" s="28"/>
      <c r="B965" s="28"/>
      <c r="C965" s="9"/>
      <c r="D965" s="9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</row>
    <row r="966" spans="1:47" ht="13.2" x14ac:dyDescent="0.25">
      <c r="A966" s="28"/>
      <c r="B966" s="28"/>
      <c r="C966" s="9"/>
      <c r="D966" s="9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</row>
    <row r="967" spans="1:47" ht="13.2" x14ac:dyDescent="0.25">
      <c r="A967" s="28"/>
      <c r="B967" s="28"/>
      <c r="C967" s="9"/>
      <c r="D967" s="9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</row>
    <row r="968" spans="1:47" ht="13.2" x14ac:dyDescent="0.25">
      <c r="A968" s="28"/>
      <c r="B968" s="28"/>
      <c r="C968" s="9"/>
      <c r="D968" s="9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</row>
    <row r="969" spans="1:47" ht="13.2" x14ac:dyDescent="0.25">
      <c r="A969" s="28"/>
      <c r="B969" s="28"/>
      <c r="C969" s="9"/>
      <c r="D969" s="9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</row>
    <row r="970" spans="1:47" ht="13.2" x14ac:dyDescent="0.25">
      <c r="A970" s="28"/>
      <c r="B970" s="28"/>
      <c r="C970" s="9"/>
      <c r="D970" s="9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</row>
    <row r="971" spans="1:47" ht="13.2" x14ac:dyDescent="0.25">
      <c r="A971" s="28"/>
      <c r="B971" s="28"/>
      <c r="C971" s="9"/>
      <c r="D971" s="9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</row>
    <row r="972" spans="1:47" ht="13.2" x14ac:dyDescent="0.25">
      <c r="A972" s="28"/>
      <c r="B972" s="28"/>
      <c r="C972" s="9"/>
      <c r="D972" s="9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</row>
    <row r="973" spans="1:47" ht="13.2" x14ac:dyDescent="0.25">
      <c r="A973" s="28"/>
      <c r="B973" s="28"/>
      <c r="C973" s="9"/>
      <c r="D973" s="9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</row>
    <row r="974" spans="1:47" ht="13.2" x14ac:dyDescent="0.25">
      <c r="A974" s="28"/>
      <c r="B974" s="28"/>
      <c r="C974" s="9"/>
      <c r="D974" s="9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</row>
    <row r="975" spans="1:47" ht="13.2" x14ac:dyDescent="0.25">
      <c r="A975" s="28"/>
      <c r="B975" s="28"/>
      <c r="C975" s="9"/>
      <c r="D975" s="9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</row>
    <row r="976" spans="1:47" ht="13.2" x14ac:dyDescent="0.25">
      <c r="A976" s="28"/>
      <c r="B976" s="28"/>
      <c r="C976" s="9"/>
      <c r="D976" s="9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</row>
    <row r="977" spans="1:47" ht="13.2" x14ac:dyDescent="0.25">
      <c r="A977" s="28"/>
      <c r="B977" s="28"/>
      <c r="C977" s="9"/>
      <c r="D977" s="9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</row>
    <row r="978" spans="1:47" ht="13.2" x14ac:dyDescent="0.25">
      <c r="A978" s="28"/>
      <c r="B978" s="28"/>
      <c r="C978" s="9"/>
      <c r="D978" s="9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</row>
    <row r="979" spans="1:47" ht="13.2" x14ac:dyDescent="0.25">
      <c r="A979" s="28"/>
      <c r="B979" s="28"/>
      <c r="C979" s="9"/>
      <c r="D979" s="9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</row>
    <row r="980" spans="1:47" ht="13.2" x14ac:dyDescent="0.25">
      <c r="A980" s="28"/>
      <c r="B980" s="28"/>
      <c r="C980" s="9"/>
      <c r="D980" s="9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</row>
    <row r="981" spans="1:47" ht="13.2" x14ac:dyDescent="0.25">
      <c r="A981" s="28"/>
      <c r="B981" s="28"/>
      <c r="C981" s="9"/>
      <c r="D981" s="9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</row>
    <row r="982" spans="1:47" ht="13.2" x14ac:dyDescent="0.25">
      <c r="A982" s="28"/>
      <c r="B982" s="28"/>
      <c r="C982" s="9"/>
      <c r="D982" s="9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</row>
    <row r="983" spans="1:47" ht="13.2" x14ac:dyDescent="0.25">
      <c r="A983" s="28"/>
      <c r="B983" s="28"/>
      <c r="C983" s="9"/>
      <c r="D983" s="9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</row>
    <row r="984" spans="1:47" ht="13.2" x14ac:dyDescent="0.25">
      <c r="A984" s="28"/>
      <c r="B984" s="28"/>
      <c r="C984" s="9"/>
      <c r="D984" s="9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</row>
    <row r="985" spans="1:47" ht="13.2" x14ac:dyDescent="0.25">
      <c r="A985" s="28"/>
      <c r="B985" s="28"/>
      <c r="C985" s="9"/>
      <c r="D985" s="9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</row>
    <row r="986" spans="1:47" ht="13.2" x14ac:dyDescent="0.25">
      <c r="A986" s="28"/>
      <c r="B986" s="28"/>
      <c r="C986" s="9"/>
      <c r="D986" s="9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</row>
    <row r="987" spans="1:47" ht="13.2" x14ac:dyDescent="0.25">
      <c r="A987" s="28"/>
      <c r="B987" s="28"/>
      <c r="C987" s="9"/>
      <c r="D987" s="9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</row>
    <row r="988" spans="1:47" ht="13.2" x14ac:dyDescent="0.25">
      <c r="A988" s="28"/>
      <c r="B988" s="28"/>
      <c r="C988" s="9"/>
      <c r="D988" s="9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</row>
    <row r="989" spans="1:47" ht="13.2" x14ac:dyDescent="0.25">
      <c r="A989" s="28"/>
      <c r="B989" s="28"/>
      <c r="C989" s="9"/>
      <c r="D989" s="9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</row>
    <row r="990" spans="1:47" ht="13.2" x14ac:dyDescent="0.25">
      <c r="A990" s="28"/>
      <c r="B990" s="28"/>
      <c r="C990" s="9"/>
      <c r="D990" s="9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</row>
    <row r="991" spans="1:47" ht="13.2" x14ac:dyDescent="0.25">
      <c r="A991" s="28"/>
      <c r="B991" s="28"/>
      <c r="C991" s="9"/>
      <c r="D991" s="9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</row>
    <row r="992" spans="1:47" ht="13.2" x14ac:dyDescent="0.25">
      <c r="A992" s="28"/>
      <c r="B992" s="28"/>
      <c r="C992" s="9"/>
      <c r="D992" s="9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</row>
    <row r="993" spans="1:47" ht="13.2" x14ac:dyDescent="0.25">
      <c r="A993" s="28"/>
      <c r="B993" s="28"/>
      <c r="C993" s="9"/>
      <c r="D993" s="9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</row>
    <row r="994" spans="1:47" ht="13.2" x14ac:dyDescent="0.25">
      <c r="A994" s="28"/>
      <c r="B994" s="28"/>
      <c r="C994" s="9"/>
      <c r="D994" s="9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</row>
    <row r="995" spans="1:47" ht="13.2" x14ac:dyDescent="0.25">
      <c r="A995" s="28"/>
      <c r="B995" s="28"/>
      <c r="C995" s="9"/>
      <c r="D995" s="9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</row>
    <row r="996" spans="1:47" ht="13.2" x14ac:dyDescent="0.25">
      <c r="A996" s="28"/>
      <c r="B996" s="28"/>
      <c r="C996" s="9"/>
      <c r="D996" s="9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</row>
    <row r="997" spans="1:47" ht="13.2" x14ac:dyDescent="0.25">
      <c r="A997" s="28"/>
      <c r="B997" s="28"/>
      <c r="C997" s="9"/>
      <c r="D997" s="9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</row>
    <row r="998" spans="1:47" ht="13.2" x14ac:dyDescent="0.25">
      <c r="A998" s="28"/>
      <c r="B998" s="28"/>
      <c r="C998" s="9"/>
      <c r="D998" s="9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</row>
    <row r="999" spans="1:47" ht="13.2" x14ac:dyDescent="0.25">
      <c r="A999" s="28"/>
      <c r="B999" s="28"/>
      <c r="C999" s="9"/>
      <c r="D999" s="9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</row>
    <row r="1000" spans="1:47" ht="13.2" x14ac:dyDescent="0.25">
      <c r="A1000" s="28"/>
      <c r="B1000" s="28"/>
      <c r="C1000" s="9"/>
      <c r="D1000" s="9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</row>
    <row r="1001" spans="1:47" ht="13.2" x14ac:dyDescent="0.25">
      <c r="A1001" s="28"/>
      <c r="B1001" s="28"/>
      <c r="C1001" s="9"/>
      <c r="D1001" s="9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</row>
    <row r="1002" spans="1:47" ht="13.2" x14ac:dyDescent="0.25">
      <c r="A1002" s="28"/>
      <c r="B1002" s="28"/>
      <c r="C1002" s="9"/>
      <c r="D1002" s="9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</row>
    <row r="1003" spans="1:47" ht="13.2" x14ac:dyDescent="0.25">
      <c r="A1003" s="28"/>
      <c r="B1003" s="28"/>
      <c r="C1003" s="9"/>
      <c r="D1003" s="9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</row>
    <row r="1004" spans="1:47" ht="13.2" x14ac:dyDescent="0.25">
      <c r="A1004" s="28"/>
      <c r="B1004" s="28"/>
      <c r="C1004" s="9"/>
      <c r="D1004" s="9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</row>
    <row r="1005" spans="1:47" ht="13.2" x14ac:dyDescent="0.25">
      <c r="A1005" s="28"/>
      <c r="B1005" s="28"/>
      <c r="C1005" s="9"/>
      <c r="D1005" s="9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</row>
    <row r="1006" spans="1:47" ht="13.2" x14ac:dyDescent="0.25">
      <c r="A1006" s="28"/>
      <c r="B1006" s="28"/>
      <c r="C1006" s="9"/>
      <c r="D1006" s="9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</row>
    <row r="1007" spans="1:47" ht="13.2" x14ac:dyDescent="0.25">
      <c r="A1007" s="28"/>
      <c r="B1007" s="28"/>
      <c r="C1007" s="9"/>
      <c r="D1007" s="9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</row>
    <row r="1008" spans="1:47" ht="13.2" x14ac:dyDescent="0.25">
      <c r="A1008" s="28"/>
      <c r="B1008" s="28"/>
      <c r="C1008" s="9"/>
      <c r="D1008" s="9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</row>
    <row r="1009" spans="1:47" ht="13.2" x14ac:dyDescent="0.25">
      <c r="A1009" s="28"/>
      <c r="B1009" s="28"/>
      <c r="C1009" s="9"/>
      <c r="D1009" s="9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</row>
    <row r="1010" spans="1:47" ht="13.2" x14ac:dyDescent="0.25">
      <c r="A1010" s="28"/>
      <c r="B1010" s="28"/>
      <c r="C1010" s="9"/>
      <c r="D1010" s="9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</row>
    <row r="1011" spans="1:47" ht="13.2" x14ac:dyDescent="0.25">
      <c r="A1011" s="28"/>
      <c r="B1011" s="28"/>
      <c r="C1011" s="9"/>
      <c r="D1011" s="9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</row>
    <row r="1012" spans="1:47" ht="13.2" x14ac:dyDescent="0.25">
      <c r="A1012" s="28"/>
      <c r="B1012" s="28"/>
      <c r="C1012" s="9"/>
      <c r="D1012" s="9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</row>
    <row r="1013" spans="1:47" ht="13.2" x14ac:dyDescent="0.25">
      <c r="A1013" s="28"/>
      <c r="B1013" s="28"/>
      <c r="C1013" s="9"/>
      <c r="D1013" s="9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  <c r="AS1013" s="28"/>
      <c r="AT1013" s="28"/>
      <c r="AU1013" s="28"/>
    </row>
    <row r="1014" spans="1:47" ht="13.2" x14ac:dyDescent="0.25">
      <c r="A1014" s="28"/>
      <c r="B1014" s="28"/>
      <c r="C1014" s="9"/>
      <c r="D1014" s="9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  <c r="AS1014" s="28"/>
      <c r="AT1014" s="28"/>
      <c r="AU1014" s="28"/>
    </row>
    <row r="1015" spans="1:47" ht="13.2" x14ac:dyDescent="0.25">
      <c r="A1015" s="28"/>
      <c r="B1015" s="28"/>
      <c r="C1015" s="9"/>
      <c r="D1015" s="9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</row>
    <row r="1016" spans="1:47" ht="13.2" x14ac:dyDescent="0.25">
      <c r="A1016" s="28"/>
      <c r="B1016" s="28"/>
      <c r="C1016" s="9"/>
      <c r="D1016" s="9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  <c r="AS1016" s="28"/>
      <c r="AT1016" s="28"/>
      <c r="AU1016" s="28"/>
    </row>
    <row r="1017" spans="1:47" ht="13.2" x14ac:dyDescent="0.25">
      <c r="A1017" s="28"/>
      <c r="B1017" s="28"/>
      <c r="C1017" s="9"/>
      <c r="D1017" s="9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  <c r="AF1017" s="28"/>
      <c r="AG1017" s="28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  <c r="AS1017" s="28"/>
      <c r="AT1017" s="28"/>
      <c r="AU1017" s="28"/>
    </row>
    <row r="1018" spans="1:47" ht="13.2" x14ac:dyDescent="0.25">
      <c r="A1018" s="28"/>
      <c r="B1018" s="28"/>
      <c r="C1018" s="9"/>
      <c r="D1018" s="9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</row>
    <row r="1019" spans="1:47" ht="13.2" x14ac:dyDescent="0.25">
      <c r="A1019" s="28"/>
      <c r="B1019" s="28"/>
      <c r="C1019" s="9"/>
      <c r="D1019" s="9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  <c r="AS1019" s="28"/>
      <c r="AT1019" s="28"/>
      <c r="AU1019" s="28"/>
    </row>
    <row r="1020" spans="1:47" ht="13.2" x14ac:dyDescent="0.25">
      <c r="A1020" s="28"/>
      <c r="B1020" s="28"/>
      <c r="C1020" s="9"/>
      <c r="D1020" s="9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</row>
    <row r="1021" spans="1:47" ht="13.2" x14ac:dyDescent="0.25">
      <c r="A1021" s="28"/>
      <c r="B1021" s="28"/>
      <c r="C1021" s="9"/>
      <c r="D1021" s="9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</row>
  </sheetData>
  <mergeCells count="13">
    <mergeCell ref="A77:A78"/>
    <mergeCell ref="A2:A8"/>
    <mergeCell ref="A9:A18"/>
    <mergeCell ref="A19:A20"/>
    <mergeCell ref="A21:A26"/>
    <mergeCell ref="A27:A35"/>
    <mergeCell ref="A36:A41"/>
    <mergeCell ref="A42:A48"/>
    <mergeCell ref="A49:A52"/>
    <mergeCell ref="A53:A65"/>
    <mergeCell ref="A66:A69"/>
    <mergeCell ref="A70:A73"/>
    <mergeCell ref="A74:A76"/>
  </mergeCells>
  <conditionalFormatting sqref="E66:AH73">
    <cfRule type="containsBlanks" dxfId="3" priority="1">
      <formula>LEN(TRIM(E66))=0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B6C1-F7D3-41C5-88D3-4B98A61000AD}">
  <dimension ref="E1:G78"/>
  <sheetViews>
    <sheetView topLeftCell="F62" workbookViewId="0">
      <selection activeCell="G2" sqref="G2:G78"/>
    </sheetView>
  </sheetViews>
  <sheetFormatPr defaultRowHeight="13.2" x14ac:dyDescent="0.25"/>
  <cols>
    <col min="5" max="5" width="57.88671875" bestFit="1" customWidth="1"/>
    <col min="6" max="6" width="59.5546875" bestFit="1" customWidth="1"/>
    <col min="7" max="7" width="91.21875" bestFit="1" customWidth="1"/>
  </cols>
  <sheetData>
    <row r="1" spans="5:7" x14ac:dyDescent="0.25">
      <c r="F1" s="98" t="s">
        <v>0</v>
      </c>
      <c r="G1" s="98" t="s">
        <v>1241</v>
      </c>
    </row>
    <row r="2" spans="5:7" x14ac:dyDescent="0.25">
      <c r="E2" s="8" t="s">
        <v>2</v>
      </c>
      <c r="F2" s="99" t="s">
        <v>2</v>
      </c>
      <c r="G2" s="99" t="s">
        <v>1242</v>
      </c>
    </row>
    <row r="3" spans="5:7" x14ac:dyDescent="0.25">
      <c r="E3" s="8" t="s">
        <v>4</v>
      </c>
      <c r="F3" s="99" t="s">
        <v>4</v>
      </c>
      <c r="G3" s="99" t="s">
        <v>1243</v>
      </c>
    </row>
    <row r="4" spans="5:7" x14ac:dyDescent="0.25">
      <c r="E4" s="8" t="s">
        <v>6</v>
      </c>
      <c r="F4" s="99" t="s">
        <v>6</v>
      </c>
      <c r="G4" s="99" t="s">
        <v>1244</v>
      </c>
    </row>
    <row r="5" spans="5:7" x14ac:dyDescent="0.25">
      <c r="E5" s="8" t="s">
        <v>8</v>
      </c>
      <c r="F5" s="99" t="s">
        <v>8</v>
      </c>
      <c r="G5" s="99" t="s">
        <v>1245</v>
      </c>
    </row>
    <row r="6" spans="5:7" x14ac:dyDescent="0.25">
      <c r="E6" s="8" t="s">
        <v>10</v>
      </c>
      <c r="F6" s="99" t="s">
        <v>10</v>
      </c>
      <c r="G6" s="99" t="s">
        <v>1246</v>
      </c>
    </row>
    <row r="7" spans="5:7" x14ac:dyDescent="0.25">
      <c r="E7" s="8" t="s">
        <v>12</v>
      </c>
      <c r="F7" s="99" t="s">
        <v>12</v>
      </c>
      <c r="G7" s="99" t="s">
        <v>1247</v>
      </c>
    </row>
    <row r="8" spans="5:7" x14ac:dyDescent="0.25">
      <c r="E8" s="8" t="s">
        <v>14</v>
      </c>
      <c r="F8" s="99" t="s">
        <v>14</v>
      </c>
      <c r="G8" s="99" t="s">
        <v>1248</v>
      </c>
    </row>
    <row r="9" spans="5:7" x14ac:dyDescent="0.25">
      <c r="E9" s="8" t="s">
        <v>16</v>
      </c>
      <c r="F9" s="99" t="s">
        <v>16</v>
      </c>
      <c r="G9" s="99" t="s">
        <v>1249</v>
      </c>
    </row>
    <row r="10" spans="5:7" x14ac:dyDescent="0.25">
      <c r="E10" s="8" t="s">
        <v>18</v>
      </c>
      <c r="F10" s="99" t="s">
        <v>18</v>
      </c>
      <c r="G10" s="99" t="s">
        <v>1250</v>
      </c>
    </row>
    <row r="11" spans="5:7" x14ac:dyDescent="0.25">
      <c r="E11" s="8" t="s">
        <v>20</v>
      </c>
      <c r="F11" s="99" t="s">
        <v>20</v>
      </c>
      <c r="G11" s="99" t="s">
        <v>1251</v>
      </c>
    </row>
    <row r="12" spans="5:7" x14ac:dyDescent="0.25">
      <c r="E12" s="8" t="s">
        <v>22</v>
      </c>
      <c r="F12" s="99" t="s">
        <v>22</v>
      </c>
      <c r="G12" s="99" t="s">
        <v>1252</v>
      </c>
    </row>
    <row r="13" spans="5:7" x14ac:dyDescent="0.25">
      <c r="E13" s="8" t="s">
        <v>24</v>
      </c>
      <c r="F13" s="99" t="s">
        <v>24</v>
      </c>
      <c r="G13" s="99" t="s">
        <v>1253</v>
      </c>
    </row>
    <row r="14" spans="5:7" x14ac:dyDescent="0.25">
      <c r="E14" s="8" t="s">
        <v>26</v>
      </c>
      <c r="F14" s="99" t="s">
        <v>26</v>
      </c>
      <c r="G14" s="99" t="s">
        <v>1254</v>
      </c>
    </row>
    <row r="15" spans="5:7" x14ac:dyDescent="0.25">
      <c r="E15" s="8" t="s">
        <v>28</v>
      </c>
      <c r="F15" s="99" t="s">
        <v>28</v>
      </c>
      <c r="G15" s="99" t="s">
        <v>1255</v>
      </c>
    </row>
    <row r="16" spans="5:7" x14ac:dyDescent="0.25">
      <c r="E16" s="8" t="s">
        <v>30</v>
      </c>
      <c r="F16" s="99" t="s">
        <v>30</v>
      </c>
      <c r="G16" s="99" t="s">
        <v>1256</v>
      </c>
    </row>
    <row r="17" spans="5:7" x14ac:dyDescent="0.25">
      <c r="E17" s="8" t="s">
        <v>32</v>
      </c>
      <c r="F17" s="99" t="s">
        <v>32</v>
      </c>
      <c r="G17" s="99" t="s">
        <v>1257</v>
      </c>
    </row>
    <row r="18" spans="5:7" x14ac:dyDescent="0.25">
      <c r="E18" s="8" t="s">
        <v>34</v>
      </c>
      <c r="F18" s="99" t="s">
        <v>34</v>
      </c>
      <c r="G18" s="99" t="s">
        <v>1258</v>
      </c>
    </row>
    <row r="19" spans="5:7" x14ac:dyDescent="0.25">
      <c r="E19" s="8" t="s">
        <v>36</v>
      </c>
      <c r="F19" s="99" t="s">
        <v>36</v>
      </c>
      <c r="G19" s="99" t="s">
        <v>1259</v>
      </c>
    </row>
    <row r="20" spans="5:7" x14ac:dyDescent="0.25">
      <c r="E20" s="8" t="s">
        <v>38</v>
      </c>
      <c r="F20" s="99" t="s">
        <v>38</v>
      </c>
      <c r="G20" s="99" t="s">
        <v>1260</v>
      </c>
    </row>
    <row r="21" spans="5:7" x14ac:dyDescent="0.25">
      <c r="E21" s="8" t="s">
        <v>40</v>
      </c>
      <c r="F21" s="99" t="s">
        <v>40</v>
      </c>
      <c r="G21" s="99" t="s">
        <v>1261</v>
      </c>
    </row>
    <row r="22" spans="5:7" x14ac:dyDescent="0.25">
      <c r="E22" s="8" t="s">
        <v>42</v>
      </c>
      <c r="F22" s="99" t="s">
        <v>42</v>
      </c>
      <c r="G22" s="99" t="s">
        <v>1262</v>
      </c>
    </row>
    <row r="23" spans="5:7" x14ac:dyDescent="0.25">
      <c r="E23" s="8" t="s">
        <v>44</v>
      </c>
      <c r="F23" s="99" t="s">
        <v>44</v>
      </c>
      <c r="G23" s="99" t="s">
        <v>1263</v>
      </c>
    </row>
    <row r="24" spans="5:7" x14ac:dyDescent="0.25">
      <c r="E24" s="8" t="s">
        <v>46</v>
      </c>
      <c r="F24" s="99" t="s">
        <v>46</v>
      </c>
      <c r="G24" s="99" t="s">
        <v>1264</v>
      </c>
    </row>
    <row r="25" spans="5:7" x14ac:dyDescent="0.25">
      <c r="E25" s="13" t="s">
        <v>121</v>
      </c>
      <c r="F25" s="99" t="s">
        <v>1265</v>
      </c>
      <c r="G25" s="99" t="s">
        <v>1266</v>
      </c>
    </row>
    <row r="26" spans="5:7" x14ac:dyDescent="0.25">
      <c r="E26" s="8" t="s">
        <v>48</v>
      </c>
      <c r="F26" s="99" t="s">
        <v>48</v>
      </c>
      <c r="G26" s="99" t="s">
        <v>1267</v>
      </c>
    </row>
    <row r="27" spans="5:7" x14ac:dyDescent="0.25">
      <c r="E27" s="8" t="s">
        <v>124</v>
      </c>
      <c r="F27" s="99" t="s">
        <v>124</v>
      </c>
      <c r="G27" s="99" t="s">
        <v>1268</v>
      </c>
    </row>
    <row r="28" spans="5:7" x14ac:dyDescent="0.25">
      <c r="E28" s="8" t="s">
        <v>125</v>
      </c>
      <c r="F28" s="99" t="s">
        <v>125</v>
      </c>
      <c r="G28" s="99" t="s">
        <v>1269</v>
      </c>
    </row>
    <row r="29" spans="5:7" x14ac:dyDescent="0.25">
      <c r="E29" s="8" t="s">
        <v>126</v>
      </c>
      <c r="F29" s="99" t="s">
        <v>126</v>
      </c>
      <c r="G29" s="99" t="s">
        <v>1270</v>
      </c>
    </row>
    <row r="30" spans="5:7" x14ac:dyDescent="0.25">
      <c r="E30" s="8" t="s">
        <v>127</v>
      </c>
      <c r="F30" s="99" t="s">
        <v>127</v>
      </c>
      <c r="G30" s="99" t="s">
        <v>1271</v>
      </c>
    </row>
    <row r="31" spans="5:7" x14ac:dyDescent="0.25">
      <c r="E31" s="8" t="s">
        <v>128</v>
      </c>
      <c r="F31" s="99" t="s">
        <v>128</v>
      </c>
      <c r="G31" s="99" t="s">
        <v>1272</v>
      </c>
    </row>
    <row r="32" spans="5:7" x14ac:dyDescent="0.25">
      <c r="E32" s="8" t="s">
        <v>129</v>
      </c>
      <c r="F32" s="99" t="s">
        <v>129</v>
      </c>
      <c r="G32" s="99" t="s">
        <v>1273</v>
      </c>
    </row>
    <row r="33" spans="5:7" x14ac:dyDescent="0.25">
      <c r="E33" s="8" t="s">
        <v>130</v>
      </c>
      <c r="F33" s="99" t="s">
        <v>130</v>
      </c>
      <c r="G33" s="99" t="s">
        <v>1274</v>
      </c>
    </row>
    <row r="34" spans="5:7" x14ac:dyDescent="0.25">
      <c r="E34" s="8" t="s">
        <v>131</v>
      </c>
      <c r="F34" s="99" t="s">
        <v>131</v>
      </c>
      <c r="G34" s="99" t="s">
        <v>1275</v>
      </c>
    </row>
    <row r="35" spans="5:7" x14ac:dyDescent="0.25">
      <c r="E35" s="8" t="s">
        <v>132</v>
      </c>
      <c r="F35" s="99" t="s">
        <v>132</v>
      </c>
      <c r="G35" s="99" t="s">
        <v>1276</v>
      </c>
    </row>
    <row r="36" spans="5:7" x14ac:dyDescent="0.25">
      <c r="E36" s="8" t="s">
        <v>50</v>
      </c>
      <c r="F36" s="99" t="s">
        <v>50</v>
      </c>
      <c r="G36" s="99" t="s">
        <v>1277</v>
      </c>
    </row>
    <row r="37" spans="5:7" x14ac:dyDescent="0.25">
      <c r="E37" s="8" t="s">
        <v>52</v>
      </c>
      <c r="F37" s="99" t="s">
        <v>52</v>
      </c>
      <c r="G37" s="99" t="s">
        <v>1278</v>
      </c>
    </row>
    <row r="38" spans="5:7" x14ac:dyDescent="0.25">
      <c r="E38" s="8" t="s">
        <v>54</v>
      </c>
      <c r="F38" s="99" t="s">
        <v>54</v>
      </c>
      <c r="G38" s="99" t="s">
        <v>1279</v>
      </c>
    </row>
    <row r="39" spans="5:7" x14ac:dyDescent="0.25">
      <c r="E39" s="8" t="s">
        <v>134</v>
      </c>
      <c r="F39" s="99" t="s">
        <v>134</v>
      </c>
      <c r="G39" s="99" t="s">
        <v>1280</v>
      </c>
    </row>
    <row r="40" spans="5:7" x14ac:dyDescent="0.25">
      <c r="E40" s="8" t="s">
        <v>135</v>
      </c>
      <c r="F40" s="99" t="s">
        <v>135</v>
      </c>
      <c r="G40" s="99" t="s">
        <v>1281</v>
      </c>
    </row>
    <row r="41" spans="5:7" x14ac:dyDescent="0.25">
      <c r="E41" s="8" t="s">
        <v>136</v>
      </c>
      <c r="F41" s="99" t="s">
        <v>136</v>
      </c>
      <c r="G41" s="99" t="s">
        <v>1282</v>
      </c>
    </row>
    <row r="42" spans="5:7" x14ac:dyDescent="0.25">
      <c r="E42" s="8" t="s">
        <v>56</v>
      </c>
      <c r="F42" s="99" t="s">
        <v>56</v>
      </c>
      <c r="G42" s="99" t="s">
        <v>1283</v>
      </c>
    </row>
    <row r="43" spans="5:7" x14ac:dyDescent="0.25">
      <c r="E43" s="8" t="s">
        <v>58</v>
      </c>
      <c r="F43" s="99" t="s">
        <v>1284</v>
      </c>
      <c r="G43" s="99" t="s">
        <v>1285</v>
      </c>
    </row>
    <row r="44" spans="5:7" x14ac:dyDescent="0.25">
      <c r="E44" s="18" t="s">
        <v>138</v>
      </c>
      <c r="F44" s="99" t="s">
        <v>1286</v>
      </c>
      <c r="G44" s="99" t="s">
        <v>1287</v>
      </c>
    </row>
    <row r="45" spans="5:7" x14ac:dyDescent="0.25">
      <c r="E45" s="8" t="s">
        <v>60</v>
      </c>
      <c r="F45" s="99" t="s">
        <v>1288</v>
      </c>
      <c r="G45" s="99" t="s">
        <v>1289</v>
      </c>
    </row>
    <row r="46" spans="5:7" x14ac:dyDescent="0.25">
      <c r="E46" s="8" t="s">
        <v>62</v>
      </c>
      <c r="F46" s="99" t="s">
        <v>470</v>
      </c>
      <c r="G46" s="99" t="s">
        <v>1290</v>
      </c>
    </row>
    <row r="47" spans="5:7" x14ac:dyDescent="0.25">
      <c r="E47" s="13" t="s">
        <v>139</v>
      </c>
      <c r="F47" s="99" t="s">
        <v>1291</v>
      </c>
      <c r="G47" s="99" t="s">
        <v>1292</v>
      </c>
    </row>
    <row r="48" spans="5:7" x14ac:dyDescent="0.25">
      <c r="E48" s="8" t="s">
        <v>64</v>
      </c>
      <c r="F48" s="99" t="s">
        <v>472</v>
      </c>
      <c r="G48" s="99" t="s">
        <v>1293</v>
      </c>
    </row>
    <row r="49" spans="5:7" x14ac:dyDescent="0.25">
      <c r="E49" s="8" t="s">
        <v>66</v>
      </c>
      <c r="F49" s="99" t="s">
        <v>66</v>
      </c>
      <c r="G49" s="99" t="s">
        <v>1294</v>
      </c>
    </row>
    <row r="50" spans="5:7" x14ac:dyDescent="0.25">
      <c r="E50" s="8" t="s">
        <v>68</v>
      </c>
      <c r="F50" s="99" t="s">
        <v>68</v>
      </c>
      <c r="G50" s="99" t="s">
        <v>1295</v>
      </c>
    </row>
    <row r="51" spans="5:7" x14ac:dyDescent="0.25">
      <c r="E51" s="8" t="s">
        <v>70</v>
      </c>
      <c r="F51" s="99" t="s">
        <v>341</v>
      </c>
      <c r="G51" s="99" t="s">
        <v>1296</v>
      </c>
    </row>
    <row r="52" spans="5:7" x14ac:dyDescent="0.25">
      <c r="E52" s="8" t="s">
        <v>72</v>
      </c>
      <c r="F52" s="99" t="s">
        <v>72</v>
      </c>
      <c r="G52" s="99" t="s">
        <v>1297</v>
      </c>
    </row>
    <row r="53" spans="5:7" x14ac:dyDescent="0.25">
      <c r="E53" s="8" t="s">
        <v>74</v>
      </c>
      <c r="F53" s="99" t="s">
        <v>1298</v>
      </c>
      <c r="G53" s="99" t="s">
        <v>1299</v>
      </c>
    </row>
    <row r="54" spans="5:7" x14ac:dyDescent="0.25">
      <c r="E54" s="8" t="s">
        <v>142</v>
      </c>
      <c r="F54" s="99" t="s">
        <v>1300</v>
      </c>
      <c r="G54" s="99" t="s">
        <v>1301</v>
      </c>
    </row>
    <row r="55" spans="5:7" x14ac:dyDescent="0.25">
      <c r="E55" s="8" t="s">
        <v>143</v>
      </c>
      <c r="F55" s="99" t="s">
        <v>1302</v>
      </c>
      <c r="G55" s="99" t="s">
        <v>1303</v>
      </c>
    </row>
    <row r="56" spans="5:7" x14ac:dyDescent="0.25">
      <c r="E56" s="8" t="s">
        <v>144</v>
      </c>
      <c r="F56" s="99" t="s">
        <v>1304</v>
      </c>
      <c r="G56" s="99" t="s">
        <v>1305</v>
      </c>
    </row>
    <row r="57" spans="5:7" x14ac:dyDescent="0.25">
      <c r="E57" s="8" t="s">
        <v>145</v>
      </c>
      <c r="F57" s="99" t="s">
        <v>1306</v>
      </c>
      <c r="G57" s="99" t="s">
        <v>1307</v>
      </c>
    </row>
    <row r="58" spans="5:7" x14ac:dyDescent="0.25">
      <c r="E58" s="8" t="s">
        <v>146</v>
      </c>
      <c r="F58" s="99" t="s">
        <v>1308</v>
      </c>
      <c r="G58" s="99" t="s">
        <v>1309</v>
      </c>
    </row>
    <row r="59" spans="5:7" x14ac:dyDescent="0.25">
      <c r="E59" s="8" t="s">
        <v>147</v>
      </c>
      <c r="F59" s="99" t="s">
        <v>1310</v>
      </c>
      <c r="G59" s="99" t="s">
        <v>1311</v>
      </c>
    </row>
    <row r="60" spans="5:7" x14ac:dyDescent="0.25">
      <c r="E60" s="8" t="s">
        <v>148</v>
      </c>
      <c r="F60" s="99" t="s">
        <v>1312</v>
      </c>
      <c r="G60" s="99" t="s">
        <v>1313</v>
      </c>
    </row>
    <row r="61" spans="5:7" x14ac:dyDescent="0.25">
      <c r="E61" s="8" t="s">
        <v>76</v>
      </c>
      <c r="F61" s="99" t="s">
        <v>1314</v>
      </c>
      <c r="G61" s="99" t="s">
        <v>1315</v>
      </c>
    </row>
    <row r="62" spans="5:7" x14ac:dyDescent="0.25">
      <c r="E62" s="8" t="s">
        <v>149</v>
      </c>
      <c r="F62" s="99" t="s">
        <v>1316</v>
      </c>
      <c r="G62" s="99" t="s">
        <v>1317</v>
      </c>
    </row>
    <row r="63" spans="5:7" x14ac:dyDescent="0.25">
      <c r="E63" s="8" t="s">
        <v>150</v>
      </c>
      <c r="F63" s="99" t="s">
        <v>1318</v>
      </c>
      <c r="G63" s="99" t="s">
        <v>1319</v>
      </c>
    </row>
    <row r="64" spans="5:7" x14ac:dyDescent="0.25">
      <c r="E64" s="8" t="s">
        <v>151</v>
      </c>
      <c r="F64" s="99" t="s">
        <v>1320</v>
      </c>
      <c r="G64" s="99" t="s">
        <v>1321</v>
      </c>
    </row>
    <row r="65" spans="5:7" x14ac:dyDescent="0.25">
      <c r="E65" s="8" t="s">
        <v>152</v>
      </c>
      <c r="F65" s="99" t="s">
        <v>1322</v>
      </c>
      <c r="G65" s="99" t="s">
        <v>1323</v>
      </c>
    </row>
    <row r="66" spans="5:7" x14ac:dyDescent="0.25">
      <c r="E66" s="24" t="s">
        <v>154</v>
      </c>
      <c r="F66" s="99" t="s">
        <v>1324</v>
      </c>
      <c r="G66" s="99" t="s">
        <v>1325</v>
      </c>
    </row>
    <row r="67" spans="5:7" x14ac:dyDescent="0.25">
      <c r="E67" s="24" t="s">
        <v>155</v>
      </c>
      <c r="F67" s="99" t="s">
        <v>1326</v>
      </c>
      <c r="G67" s="99" t="s">
        <v>1327</v>
      </c>
    </row>
    <row r="68" spans="5:7" x14ac:dyDescent="0.25">
      <c r="E68" s="26" t="s">
        <v>156</v>
      </c>
      <c r="F68" s="99" t="s">
        <v>1328</v>
      </c>
      <c r="G68" s="99" t="s">
        <v>1329</v>
      </c>
    </row>
    <row r="69" spans="5:7" x14ac:dyDescent="0.25">
      <c r="E69" s="26" t="s">
        <v>157</v>
      </c>
      <c r="F69" s="99" t="s">
        <v>1330</v>
      </c>
      <c r="G69" s="99" t="s">
        <v>1331</v>
      </c>
    </row>
    <row r="70" spans="5:7" x14ac:dyDescent="0.25">
      <c r="E70" s="28" t="s">
        <v>159</v>
      </c>
      <c r="F70" s="99" t="s">
        <v>1332</v>
      </c>
      <c r="G70" s="99" t="s">
        <v>1333</v>
      </c>
    </row>
    <row r="71" spans="5:7" x14ac:dyDescent="0.25">
      <c r="E71" s="28" t="s">
        <v>160</v>
      </c>
      <c r="F71" s="99" t="s">
        <v>1334</v>
      </c>
      <c r="G71" s="99" t="s">
        <v>1335</v>
      </c>
    </row>
    <row r="72" spans="5:7" x14ac:dyDescent="0.25">
      <c r="E72" s="26" t="s">
        <v>161</v>
      </c>
      <c r="F72" s="99" t="s">
        <v>1336</v>
      </c>
      <c r="G72" s="99" t="s">
        <v>1337</v>
      </c>
    </row>
    <row r="73" spans="5:7" x14ac:dyDescent="0.25">
      <c r="E73" s="26" t="s">
        <v>162</v>
      </c>
      <c r="F73" s="99" t="s">
        <v>1338</v>
      </c>
      <c r="G73" s="99" t="s">
        <v>1339</v>
      </c>
    </row>
    <row r="74" spans="5:7" x14ac:dyDescent="0.25">
      <c r="E74" s="8" t="s">
        <v>78</v>
      </c>
      <c r="F74" s="99" t="s">
        <v>78</v>
      </c>
      <c r="G74" s="99" t="s">
        <v>1340</v>
      </c>
    </row>
    <row r="75" spans="5:7" x14ac:dyDescent="0.25">
      <c r="E75" s="8" t="s">
        <v>80</v>
      </c>
      <c r="F75" s="99" t="s">
        <v>80</v>
      </c>
      <c r="G75" s="99" t="s">
        <v>1341</v>
      </c>
    </row>
    <row r="76" spans="5:7" x14ac:dyDescent="0.25">
      <c r="E76" s="8" t="s">
        <v>82</v>
      </c>
      <c r="F76" s="99" t="s">
        <v>82</v>
      </c>
      <c r="G76" s="99" t="s">
        <v>1342</v>
      </c>
    </row>
    <row r="77" spans="5:7" x14ac:dyDescent="0.25">
      <c r="E77" s="8" t="s">
        <v>165</v>
      </c>
      <c r="F77" s="99" t="s">
        <v>1343</v>
      </c>
      <c r="G77" s="99" t="s">
        <v>1344</v>
      </c>
    </row>
    <row r="78" spans="5:7" x14ac:dyDescent="0.25">
      <c r="E78" s="8" t="s">
        <v>167</v>
      </c>
      <c r="F78" s="99" t="s">
        <v>1345</v>
      </c>
      <c r="G78" s="99" t="s">
        <v>1346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T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26.33203125" customWidth="1"/>
    <col min="2" max="2" width="46.77734375" customWidth="1"/>
    <col min="3" max="3" width="14" customWidth="1"/>
    <col min="4" max="4" width="14.109375" customWidth="1"/>
    <col min="5" max="5" width="15.88671875" customWidth="1"/>
    <col min="6" max="6" width="14.88671875" customWidth="1"/>
    <col min="7" max="7" width="14" customWidth="1"/>
    <col min="8" max="8" width="12.6640625" customWidth="1"/>
    <col min="9" max="10" width="14.88671875" customWidth="1"/>
    <col min="11" max="11" width="14" customWidth="1"/>
    <col min="12" max="12" width="12.6640625" customWidth="1"/>
    <col min="13" max="14" width="14" customWidth="1"/>
    <col min="15" max="15" width="14.88671875" customWidth="1"/>
    <col min="16" max="20" width="14" customWidth="1"/>
    <col min="21" max="21" width="14.88671875" customWidth="1"/>
    <col min="22" max="22" width="14" customWidth="1"/>
    <col min="23" max="23" width="12.6640625" customWidth="1"/>
    <col min="24" max="24" width="14.88671875" customWidth="1"/>
    <col min="25" max="25" width="15.77734375" customWidth="1"/>
    <col min="26" max="26" width="17.44140625" customWidth="1"/>
    <col min="27" max="29" width="14" customWidth="1"/>
    <col min="30" max="30" width="14.88671875" customWidth="1"/>
    <col min="31" max="31" width="14.77734375" customWidth="1"/>
    <col min="32" max="32" width="14" customWidth="1"/>
    <col min="33" max="33" width="11.88671875" customWidth="1"/>
    <col min="34" max="46" width="36.33203125" customWidth="1"/>
  </cols>
  <sheetData>
    <row r="1" spans="1:46" ht="15.75" customHeight="1" x14ac:dyDescent="0.25">
      <c r="A1" s="30" t="s">
        <v>84</v>
      </c>
      <c r="B1" s="30" t="s">
        <v>0</v>
      </c>
      <c r="C1" s="31" t="s">
        <v>86</v>
      </c>
      <c r="D1" s="32" t="s">
        <v>87</v>
      </c>
      <c r="E1" s="31" t="s">
        <v>88</v>
      </c>
      <c r="F1" s="31" t="s">
        <v>89</v>
      </c>
      <c r="G1" s="31" t="s">
        <v>90</v>
      </c>
      <c r="H1" s="31" t="s">
        <v>91</v>
      </c>
      <c r="I1" s="31" t="s">
        <v>92</v>
      </c>
      <c r="J1" s="31" t="s">
        <v>169</v>
      </c>
      <c r="K1" s="31" t="s">
        <v>94</v>
      </c>
      <c r="L1" s="31" t="s">
        <v>95</v>
      </c>
      <c r="M1" s="31" t="s">
        <v>96</v>
      </c>
      <c r="N1" s="31" t="s">
        <v>97</v>
      </c>
      <c r="O1" s="31" t="s">
        <v>98</v>
      </c>
      <c r="P1" s="31" t="s">
        <v>99</v>
      </c>
      <c r="Q1" s="31" t="s">
        <v>100</v>
      </c>
      <c r="R1" s="31" t="s">
        <v>101</v>
      </c>
      <c r="S1" s="31" t="s">
        <v>102</v>
      </c>
      <c r="T1" s="31" t="s">
        <v>103</v>
      </c>
      <c r="U1" s="31" t="s">
        <v>104</v>
      </c>
      <c r="V1" s="31" t="s">
        <v>105</v>
      </c>
      <c r="W1" s="31" t="s">
        <v>106</v>
      </c>
      <c r="X1" s="31" t="s">
        <v>107</v>
      </c>
      <c r="Y1" s="31" t="s">
        <v>108</v>
      </c>
      <c r="Z1" s="30" t="s">
        <v>109</v>
      </c>
      <c r="AA1" s="30" t="s">
        <v>110</v>
      </c>
      <c r="AB1" s="30" t="s">
        <v>111</v>
      </c>
      <c r="AC1" s="30" t="s">
        <v>113</v>
      </c>
      <c r="AD1" s="30" t="s">
        <v>112</v>
      </c>
      <c r="AE1" s="30" t="s">
        <v>114</v>
      </c>
      <c r="AF1" s="30" t="s">
        <v>115</v>
      </c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</row>
    <row r="2" spans="1:46" ht="15.75" customHeight="1" x14ac:dyDescent="0.25">
      <c r="A2" s="103" t="s">
        <v>116</v>
      </c>
      <c r="B2" s="33" t="s">
        <v>154</v>
      </c>
      <c r="C2" s="34">
        <f>Raw_Data_Quantitative!D66*(1-Raw_Data_Quantitative!D2/100)</f>
        <v>8.3230000000000004</v>
      </c>
      <c r="D2" s="34">
        <f>Raw_Data_Quantitative!E66*(1-Raw_Data_Quantitative!E2/100)</f>
        <v>0.58500000000000019</v>
      </c>
      <c r="E2" s="34">
        <f>Raw_Data_Quantitative!F66*(1-Raw_Data_Quantitative!F2/100)</f>
        <v>10.374000000000001</v>
      </c>
      <c r="F2" s="34">
        <f>Raw_Data_Quantitative!G66*(1-Raw_Data_Quantitative!G2/100)</f>
        <v>7.5660000000000007</v>
      </c>
      <c r="G2" s="34">
        <f>Raw_Data_Quantitative!H66*(1-Raw_Data_Quantitative!H2/100)</f>
        <v>18.067</v>
      </c>
      <c r="H2" s="34">
        <f>Raw_Data_Quantitative!I66*(1-Raw_Data_Quantitative!I2/100)</f>
        <v>0.9</v>
      </c>
      <c r="I2" s="34">
        <f>Raw_Data_Quantitative!J66*(1-Raw_Data_Quantitative!J2/100)</f>
        <v>11.483999999999998</v>
      </c>
      <c r="J2" s="34">
        <f>Raw_Data_Quantitative!K66*(1-Raw_Data_Quantitative!K2/100)</f>
        <v>85.8005</v>
      </c>
      <c r="K2" s="34">
        <f>Raw_Data_Quantitative!L66*(1-Raw_Data_Quantitative!L2/100)</f>
        <v>73.975999999999999</v>
      </c>
      <c r="L2" s="34">
        <f>Raw_Data_Quantitative!M66*(1-Raw_Data_Quantitative!M2/100)</f>
        <v>0.73639999999999994</v>
      </c>
      <c r="M2" s="34">
        <f>Raw_Data_Quantitative!N66*(1-Raw_Data_Quantitative!N2/100)</f>
        <v>3.7839999999999994</v>
      </c>
      <c r="N2" s="34">
        <f>Raw_Data_Quantitative!O66*(1-Raw_Data_Quantitative!O2/100)</f>
        <v>6.9559999999999995</v>
      </c>
      <c r="O2" s="34">
        <f>Raw_Data_Quantitative!P66*(1-Raw_Data_Quantitative!P2/100)</f>
        <v>14.1</v>
      </c>
      <c r="P2" s="34">
        <f>Raw_Data_Quantitative!Q66*(1-Raw_Data_Quantitative!Q2/100)</f>
        <v>1.081</v>
      </c>
      <c r="Q2" s="34">
        <f>Raw_Data_Quantitative!R66*(1-Raw_Data_Quantitative!R2/100)</f>
        <v>3.7688000000000001</v>
      </c>
      <c r="R2" s="34">
        <f>Raw_Data_Quantitative!S66*(1-Raw_Data_Quantitative!S2/100)</f>
        <v>20.48</v>
      </c>
      <c r="S2" s="34">
        <f>Raw_Data_Quantitative!T66*(1-Raw_Data_Quantitative!T2/100)</f>
        <v>16.079699999999999</v>
      </c>
      <c r="T2" s="34">
        <f>Raw_Data_Quantitative!U66*(1-Raw_Data_Quantitative!U2/100)</f>
        <v>2.34</v>
      </c>
      <c r="U2" s="34">
        <f>Raw_Data_Quantitative!V66*(1-Raw_Data_Quantitative!V2/100)</f>
        <v>13.805400000000001</v>
      </c>
      <c r="V2" s="34">
        <f>Raw_Data_Quantitative!W66*(1-Raw_Data_Quantitative!W2/100)</f>
        <v>1.2150000000000001</v>
      </c>
      <c r="W2" s="34">
        <f>Raw_Data_Quantitative!X66*(1-Raw_Data_Quantitative!X2/100)</f>
        <v>21.373200000000001</v>
      </c>
      <c r="X2" s="34">
        <f>Raw_Data_Quantitative!Y66*(1-Raw_Data_Quantitative!Y2/100)</f>
        <v>90.753</v>
      </c>
      <c r="Y2" s="34">
        <f>Raw_Data_Quantitative!Z66*(1-Raw_Data_Quantitative!Z2/100)</f>
        <v>4.3054199999999998</v>
      </c>
      <c r="Z2" s="34">
        <f>Raw_Data_Quantitative!AA66*(1-Raw_Data_Quantitative!AA2/100)</f>
        <v>3.2000000000000008E-2</v>
      </c>
      <c r="AA2" s="34">
        <f>Raw_Data_Quantitative!AB66*(1-Raw_Data_Quantitative!AB2/100)</f>
        <v>2.9600000000000004</v>
      </c>
      <c r="AB2" s="34">
        <f>Raw_Data_Quantitative!AC66*(1-Raw_Data_Quantitative!AC2/100)</f>
        <v>5.5039999999999996</v>
      </c>
      <c r="AC2" s="34">
        <f>Raw_Data_Quantitative!AD66*(1-Raw_Data_Quantitative!AD2/100)</f>
        <v>2.8500000000000005</v>
      </c>
      <c r="AD2" s="34">
        <f>Raw_Data_Quantitative!AE66*(1-Raw_Data_Quantitative!AE2/100)</f>
        <v>14.817599999999997</v>
      </c>
      <c r="AE2" s="34">
        <f>Raw_Data_Quantitative!AF66*(1-Raw_Data_Quantitative!AF2/100)</f>
        <v>9.8832000000000004</v>
      </c>
      <c r="AF2" s="34">
        <f>Raw_Data_Quantitative!AG66*(1-Raw_Data_Quantitative!AG2/100)</f>
        <v>6.3080000000000007</v>
      </c>
      <c r="AG2" s="31">
        <f t="shared" ref="AG2:AG9" si="0">SUM(C2:AF2)</f>
        <v>460.20821999999993</v>
      </c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</row>
    <row r="3" spans="1:46" ht="15.75" customHeight="1" x14ac:dyDescent="0.25">
      <c r="A3" s="102"/>
      <c r="B3" s="33" t="s">
        <v>155</v>
      </c>
      <c r="C3" s="35">
        <f>IF(Raw_Data_Quantitative!D5 = 0, C2, Raw_Data_Quantitative!D67*(1-Raw_Data_Quantitative!D5/100))</f>
        <v>4.9856466000000008</v>
      </c>
      <c r="D3" s="35">
        <f>IF(Raw_Data_Quantitative!E5 = 0, D2, Raw_Data_Quantitative!E67*(1-Raw_Data_Quantitative!E5/100))</f>
        <v>0</v>
      </c>
      <c r="E3" s="35">
        <f>IF(Raw_Data_Quantitative!F5 = 0, E2, Raw_Data_Quantitative!F67*(1-Raw_Data_Quantitative!F5/100))</f>
        <v>4.8546049500000006</v>
      </c>
      <c r="F3" s="35">
        <f>IF(Raw_Data_Quantitative!G5 = 0, F2, Raw_Data_Quantitative!G67*(1-Raw_Data_Quantitative!G5/100))</f>
        <v>0</v>
      </c>
      <c r="G3" s="35">
        <f>IF(Raw_Data_Quantitative!H5 = 0, G2, Raw_Data_Quantitative!H67*(1-Raw_Data_Quantitative!H5/100))</f>
        <v>2.4207478999999994</v>
      </c>
      <c r="H3" s="35">
        <f>IF(Raw_Data_Quantitative!I5 = 0, H2, Raw_Data_Quantitative!I67*(1-Raw_Data_Quantitative!I5/100))</f>
        <v>0</v>
      </c>
      <c r="I3" s="35">
        <f>IF(Raw_Data_Quantitative!J5 = 0, I2, Raw_Data_Quantitative!J67*(1-Raw_Data_Quantitative!J5/100))</f>
        <v>0</v>
      </c>
      <c r="J3" s="35">
        <f>IF(Raw_Data_Quantitative!K5 = 0, J2, Raw_Data_Quantitative!K67*(1-Raw_Data_Quantitative!K5/100))</f>
        <v>49.982236379999996</v>
      </c>
      <c r="K3" s="35">
        <f>IF(Raw_Data_Quantitative!L5 = 0, K2, Raw_Data_Quantitative!L67*(1-Raw_Data_Quantitative!L5/100))</f>
        <v>38.213839249999999</v>
      </c>
      <c r="L3" s="35">
        <f>IF(Raw_Data_Quantitative!M5 = 0, L2, Raw_Data_Quantitative!M67*(1-Raw_Data_Quantitative!M5/100))</f>
        <v>0</v>
      </c>
      <c r="M3" s="35">
        <f>IF(Raw_Data_Quantitative!N5 = 0, M2, Raw_Data_Quantitative!N67*(1-Raw_Data_Quantitative!N5/100))</f>
        <v>7.6444178000000057E-2</v>
      </c>
      <c r="N3" s="35">
        <f>IF(Raw_Data_Quantitative!O5 = 0, N2, Raw_Data_Quantitative!O67*(1-Raw_Data_Quantitative!O5/100))</f>
        <v>0</v>
      </c>
      <c r="O3" s="35">
        <f>IF(Raw_Data_Quantitative!P5 = 0, O2, Raw_Data_Quantitative!P67*(1-Raw_Data_Quantitative!P5/100))</f>
        <v>0</v>
      </c>
      <c r="P3" s="35">
        <f>IF(Raw_Data_Quantitative!Q5 = 0, P2, Raw_Data_Quantitative!Q67*(1-Raw_Data_Quantitative!Q5/100))</f>
        <v>0</v>
      </c>
      <c r="Q3" s="35">
        <f>IF(Raw_Data_Quantitative!R5 = 0, Q2, Raw_Data_Quantitative!R67*(1-Raw_Data_Quantitative!R5/100))</f>
        <v>1.5915727500000001</v>
      </c>
      <c r="R3" s="35">
        <f>IF(Raw_Data_Quantitative!S5 = 0, R2, Raw_Data_Quantitative!S67*(1-Raw_Data_Quantitative!S5/100))</f>
        <v>7.3386365999999983</v>
      </c>
      <c r="S3" s="35">
        <f>IF(Raw_Data_Quantitative!T5 = 0, S2, Raw_Data_Quantitative!T67*(1-Raw_Data_Quantitative!T5/100))</f>
        <v>7.5480862500000008</v>
      </c>
      <c r="T3" s="35">
        <f>IF(Raw_Data_Quantitative!U5 = 0, T2, Raw_Data_Quantitative!U67*(1-Raw_Data_Quantitative!U5/100))</f>
        <v>0</v>
      </c>
      <c r="U3" s="35">
        <f>IF(Raw_Data_Quantitative!V5 = 0, U2, Raw_Data_Quantitative!V67*(1-Raw_Data_Quantitative!V5/100))</f>
        <v>0</v>
      </c>
      <c r="V3" s="35">
        <f>IF(Raw_Data_Quantitative!W5 = 0, V2, Raw_Data_Quantitative!W67*(1-Raw_Data_Quantitative!W5/100))</f>
        <v>1.0169874000000001</v>
      </c>
      <c r="W3" s="35">
        <f>IF(Raw_Data_Quantitative!X5 = 0, W2, Raw_Data_Quantitative!X67*(1-Raw_Data_Quantitative!X5/100))</f>
        <v>13.007230000000002</v>
      </c>
      <c r="X3" s="35">
        <f>IF(Raw_Data_Quantitative!Y5 = 0, X2, Raw_Data_Quantitative!Y67*(1-Raw_Data_Quantitative!Y5/100))</f>
        <v>0</v>
      </c>
      <c r="Y3" s="35">
        <f>IF(Raw_Data_Quantitative!Z5 = 0, Y2, Raw_Data_Quantitative!Z67*(1-Raw_Data_Quantitative!Z5/100))</f>
        <v>1.3617838355000005</v>
      </c>
      <c r="Z3" s="35">
        <f>IF(Raw_Data_Quantitative!AA5 = 0, Z2, Raw_Data_Quantitative!AA67*(1-Raw_Data_Quantitative!AA5/100))</f>
        <v>0</v>
      </c>
      <c r="AA3" s="35">
        <f>IF(Raw_Data_Quantitative!AB5 = 0, AA2, Raw_Data_Quantitative!AB67*(1-Raw_Data_Quantitative!AB5/100))</f>
        <v>0</v>
      </c>
      <c r="AB3" s="35">
        <f>IF(Raw_Data_Quantitative!AC5 = 0, AB2, Raw_Data_Quantitative!AC67*(1-Raw_Data_Quantitative!AC5/100))</f>
        <v>2.1328687599999996</v>
      </c>
      <c r="AC3" s="35">
        <f>IF(Raw_Data_Quantitative!AD5 = 0, AC2, Raw_Data_Quantitative!AD67*(1-Raw_Data_Quantitative!AD5/100))</f>
        <v>0</v>
      </c>
      <c r="AD3" s="35">
        <f>IF(Raw_Data_Quantitative!AE5 = 0, AD2, Raw_Data_Quantitative!AE67*(1-Raw_Data_Quantitative!AE5/100))</f>
        <v>0</v>
      </c>
      <c r="AE3" s="35">
        <f>IF(Raw_Data_Quantitative!AF5 = 0, AE2, Raw_Data_Quantitative!AF67*(1-Raw_Data_Quantitative!AF5/100))</f>
        <v>0</v>
      </c>
      <c r="AF3" s="35">
        <f>IF(Raw_Data_Quantitative!AG5 = 0, AF2, Raw_Data_Quantitative!AG67*(1-Raw_Data_Quantitative!AG5/100))</f>
        <v>0</v>
      </c>
      <c r="AG3" s="31">
        <f t="shared" si="0"/>
        <v>134.53068485350002</v>
      </c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</row>
    <row r="4" spans="1:46" ht="15.75" customHeight="1" x14ac:dyDescent="0.25">
      <c r="A4" s="102"/>
      <c r="B4" s="29" t="s">
        <v>156</v>
      </c>
      <c r="C4" s="35">
        <f t="shared" ref="C4:AF4" si="1">C2-C3</f>
        <v>3.3373533999999996</v>
      </c>
      <c r="D4" s="35">
        <f t="shared" si="1"/>
        <v>0.58500000000000019</v>
      </c>
      <c r="E4" s="35">
        <f t="shared" si="1"/>
        <v>5.51939505</v>
      </c>
      <c r="F4" s="35">
        <f t="shared" si="1"/>
        <v>7.5660000000000007</v>
      </c>
      <c r="G4" s="35">
        <f t="shared" si="1"/>
        <v>15.646252100000002</v>
      </c>
      <c r="H4" s="35">
        <f t="shared" si="1"/>
        <v>0.9</v>
      </c>
      <c r="I4" s="35">
        <f t="shared" si="1"/>
        <v>11.483999999999998</v>
      </c>
      <c r="J4" s="35">
        <f t="shared" si="1"/>
        <v>35.818263620000003</v>
      </c>
      <c r="K4" s="35">
        <f t="shared" si="1"/>
        <v>35.76216075</v>
      </c>
      <c r="L4" s="35">
        <f t="shared" si="1"/>
        <v>0.73639999999999994</v>
      </c>
      <c r="M4" s="35">
        <f t="shared" si="1"/>
        <v>3.7075558219999993</v>
      </c>
      <c r="N4" s="35">
        <f t="shared" si="1"/>
        <v>6.9559999999999995</v>
      </c>
      <c r="O4" s="35">
        <f t="shared" si="1"/>
        <v>14.1</v>
      </c>
      <c r="P4" s="35">
        <f t="shared" si="1"/>
        <v>1.081</v>
      </c>
      <c r="Q4" s="35">
        <f t="shared" si="1"/>
        <v>2.1772272500000001</v>
      </c>
      <c r="R4" s="35">
        <f t="shared" si="1"/>
        <v>13.141363400000003</v>
      </c>
      <c r="S4" s="35">
        <f t="shared" si="1"/>
        <v>8.5316137499999982</v>
      </c>
      <c r="T4" s="35">
        <f t="shared" si="1"/>
        <v>2.34</v>
      </c>
      <c r="U4" s="35">
        <f t="shared" si="1"/>
        <v>13.805400000000001</v>
      </c>
      <c r="V4" s="35">
        <f t="shared" si="1"/>
        <v>0.19801259999999998</v>
      </c>
      <c r="W4" s="35">
        <f t="shared" si="1"/>
        <v>8.365969999999999</v>
      </c>
      <c r="X4" s="35">
        <f t="shared" si="1"/>
        <v>90.753</v>
      </c>
      <c r="Y4" s="35">
        <f t="shared" si="1"/>
        <v>2.9436361644999991</v>
      </c>
      <c r="Z4" s="35">
        <f t="shared" si="1"/>
        <v>3.2000000000000008E-2</v>
      </c>
      <c r="AA4" s="35">
        <f t="shared" si="1"/>
        <v>2.9600000000000004</v>
      </c>
      <c r="AB4" s="35">
        <f t="shared" si="1"/>
        <v>3.37113124</v>
      </c>
      <c r="AC4" s="35">
        <f t="shared" si="1"/>
        <v>2.8500000000000005</v>
      </c>
      <c r="AD4" s="35">
        <f t="shared" si="1"/>
        <v>14.817599999999997</v>
      </c>
      <c r="AE4" s="35">
        <f t="shared" si="1"/>
        <v>9.8832000000000004</v>
      </c>
      <c r="AF4" s="35">
        <f t="shared" si="1"/>
        <v>6.3080000000000007</v>
      </c>
      <c r="AG4" s="31">
        <f t="shared" si="0"/>
        <v>325.67753514649991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</row>
    <row r="5" spans="1:46" ht="15.75" customHeight="1" x14ac:dyDescent="0.25">
      <c r="A5" s="102"/>
      <c r="B5" s="29" t="s">
        <v>157</v>
      </c>
      <c r="C5" s="34">
        <f>(Raw_Data_Quantitative!D67*(Raw_Data_Quantitative!D5/100))-(Raw_Data_Quantitative!D66*(Raw_Data_Quantitative!D2/100))</f>
        <v>5.4561754000000011</v>
      </c>
      <c r="D5" s="34">
        <f>(Raw_Data_Quantitative!E67*(Raw_Data_Quantitative!E5/100))-(Raw_Data_Quantitative!E66*(Raw_Data_Quantitative!E2/100))</f>
        <v>0.85091750000000022</v>
      </c>
      <c r="E5" s="34">
        <f>(Raw_Data_Quantitative!F67*(Raw_Data_Quantitative!F5/100))-(Raw_Data_Quantitative!F66*(Raw_Data_Quantitative!F2/100))</f>
        <v>7.7014115499999987</v>
      </c>
      <c r="F5" s="34">
        <f>(Raw_Data_Quantitative!G67*(Raw_Data_Quantitative!G5/100))-(Raw_Data_Quantitative!G66*(Raw_Data_Quantitative!G2/100))</f>
        <v>12.243189499999996</v>
      </c>
      <c r="G5" s="34">
        <f>(Raw_Data_Quantitative!H67*(Raw_Data_Quantitative!H5/100))-(Raw_Data_Quantitative!H66*(Raw_Data_Quantitative!H2/100))</f>
        <v>19.5537311</v>
      </c>
      <c r="H5" s="34">
        <f>(Raw_Data_Quantitative!I67*(Raw_Data_Quantitative!I5/100))-(Raw_Data_Quantitative!I66*(Raw_Data_Quantitative!I2/100))</f>
        <v>0.96426449999999997</v>
      </c>
      <c r="I5" s="34">
        <f>(Raw_Data_Quantitative!J67*(Raw_Data_Quantitative!J5/100))-(Raw_Data_Quantitative!J66*(Raw_Data_Quantitative!J2/100))</f>
        <v>16.283008999999996</v>
      </c>
      <c r="J5" s="34">
        <f>(Raw_Data_Quantitative!K67*(Raw_Data_Quantitative!K5/100))-(Raw_Data_Quantitative!K66*(Raw_Data_Quantitative!K2/100))</f>
        <v>58.05046462</v>
      </c>
      <c r="K5" s="34">
        <f>(Raw_Data_Quantitative!L67*(Raw_Data_Quantitative!L5/100))-(Raw_Data_Quantitative!L66*(Raw_Data_Quantitative!L2/100))</f>
        <v>56.517517749999996</v>
      </c>
      <c r="L5" s="34">
        <f>(Raw_Data_Quantitative!M67*(Raw_Data_Quantitative!M5/100))-(Raw_Data_Quantitative!M66*(Raw_Data_Quantitative!M2/100))</f>
        <v>1.0665335000000002</v>
      </c>
      <c r="M5" s="34">
        <f>(Raw_Data_Quantitative!N67*(Raw_Data_Quantitative!N5/100))-(Raw_Data_Quantitative!N66*(Raw_Data_Quantitative!N2/100))</f>
        <v>7.5296448219999945</v>
      </c>
      <c r="N5" s="34">
        <f>(Raw_Data_Quantitative!O67*(Raw_Data_Quantitative!O5/100))-(Raw_Data_Quantitative!O66*(Raw_Data_Quantitative!O2/100))</f>
        <v>8.9631469999999993</v>
      </c>
      <c r="O5" s="34">
        <f>(Raw_Data_Quantitative!P67*(Raw_Data_Quantitative!P5/100))-(Raw_Data_Quantitative!P66*(Raw_Data_Quantitative!P2/100))</f>
        <v>20.802245500000005</v>
      </c>
      <c r="P5" s="34">
        <f>(Raw_Data_Quantitative!Q67*(Raw_Data_Quantitative!Q5/100))-(Raw_Data_Quantitative!Q66*(Raw_Data_Quantitative!Q2/100))</f>
        <v>1.2748185000000003</v>
      </c>
      <c r="Q5" s="34">
        <f>(Raw_Data_Quantitative!R67*(Raw_Data_Quantitative!R5/100))-(Raw_Data_Quantitative!R66*(Raw_Data_Quantitative!R2/100))</f>
        <v>2.9435182500000003</v>
      </c>
      <c r="R5" s="34">
        <f>(Raw_Data_Quantitative!S67*(Raw_Data_Quantitative!S5/100))-(Raw_Data_Quantitative!S66*(Raw_Data_Quantitative!S2/100))</f>
        <v>17.834546400000001</v>
      </c>
      <c r="S5" s="34">
        <f>(Raw_Data_Quantitative!T67*(Raw_Data_Quantitative!T5/100))-(Raw_Data_Quantitative!T66*(Raw_Data_Quantitative!T2/100))</f>
        <v>11.991901249999998</v>
      </c>
      <c r="T5" s="34">
        <f>(Raw_Data_Quantitative!U67*(Raw_Data_Quantitative!U5/100))-(Raw_Data_Quantitative!U66*(Raw_Data_Quantitative!U2/100))</f>
        <v>3.202528</v>
      </c>
      <c r="U5" s="34">
        <f>(Raw_Data_Quantitative!V67*(Raw_Data_Quantitative!V5/100))-(Raw_Data_Quantitative!V66*(Raw_Data_Quantitative!V2/100))</f>
        <v>20.052154500000004</v>
      </c>
      <c r="V5" s="34">
        <f>(Raw_Data_Quantitative!W67*(Raw_Data_Quantitative!W5/100))-(Raw_Data_Quantitative!W66*(Raw_Data_Quantitative!W2/100))</f>
        <v>0.58797060000000001</v>
      </c>
      <c r="W5" s="34">
        <f>(Raw_Data_Quantitative!X67*(Raw_Data_Quantitative!X5/100))-(Raw_Data_Quantitative!X66*(Raw_Data_Quantitative!X2/100))</f>
        <v>13.884045</v>
      </c>
      <c r="X5" s="34">
        <f>(Raw_Data_Quantitative!Y67*(Raw_Data_Quantitative!Y5/100))-(Raw_Data_Quantitative!Y66*(Raw_Data_Quantitative!Y2/100))</f>
        <v>120.43396949999999</v>
      </c>
      <c r="Y5" s="34">
        <f>(Raw_Data_Quantitative!Z67*(Raw_Data_Quantitative!Z5/100))-(Raw_Data_Quantitative!Z66*(Raw_Data_Quantitative!Z2/100))</f>
        <v>3.9259026644999997</v>
      </c>
      <c r="Z5" s="34">
        <f>(Raw_Data_Quantitative!AA67*(Raw_Data_Quantitative!AA5/100))-(Raw_Data_Quantitative!AA66*(Raw_Data_Quantitative!AA2/100))</f>
        <v>9.656449999999997E-2</v>
      </c>
      <c r="AA5" s="34">
        <f>(Raw_Data_Quantitative!AB67*(Raw_Data_Quantitative!AB5/100))-(Raw_Data_Quantitative!AB66*(Raw_Data_Quantitative!AB2/100))</f>
        <v>5.6231915000000008</v>
      </c>
      <c r="AB5" s="34">
        <f>(Raw_Data_Quantitative!AC67*(Raw_Data_Quantitative!AC5/100))-(Raw_Data_Quantitative!AC66*(Raw_Data_Quantitative!AC2/100))</f>
        <v>4.4659892400000007</v>
      </c>
      <c r="AC5" s="34">
        <f>(Raw_Data_Quantitative!AD67*(Raw_Data_Quantitative!AD5/100))-(Raw_Data_Quantitative!AD66*(Raw_Data_Quantitative!AD2/100))</f>
        <v>4.1429970000000003</v>
      </c>
      <c r="AD5" s="34">
        <f>(Raw_Data_Quantitative!AE67*(Raw_Data_Quantitative!AE5/100))-(Raw_Data_Quantitative!AE66*(Raw_Data_Quantitative!AE2/100))</f>
        <v>27.130724000000001</v>
      </c>
      <c r="AE5" s="34">
        <f>(Raw_Data_Quantitative!AF67*(Raw_Data_Quantitative!AF5/100))-(Raw_Data_Quantitative!AF66*(Raw_Data_Quantitative!AF2/100))</f>
        <v>13.608101</v>
      </c>
      <c r="AF5" s="34">
        <f>(Raw_Data_Quantitative!AG67*(Raw_Data_Quantitative!AG5/100))-(Raw_Data_Quantitative!AG66*(Raw_Data_Quantitative!AG2/100))</f>
        <v>8.318348499999999</v>
      </c>
      <c r="AG5" s="36">
        <f t="shared" si="0"/>
        <v>475.49952214649994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</row>
    <row r="6" spans="1:46" ht="15.75" customHeight="1" x14ac:dyDescent="0.25">
      <c r="A6" s="104" t="s">
        <v>170</v>
      </c>
      <c r="B6" s="37" t="s">
        <v>159</v>
      </c>
      <c r="C6" s="35">
        <f>Raw_Data_Quantitative!D66*(1-Raw_Data_Quantitative!D50/100)</f>
        <v>12.977500000000001</v>
      </c>
      <c r="D6" s="35">
        <f>Raw_Data_Quantitative!E66*(1-Raw_Data_Quantitative!E50/100)</f>
        <v>0.83500000000000019</v>
      </c>
      <c r="E6" s="35">
        <f>Raw_Data_Quantitative!F66*(1-Raw_Data_Quantitative!F50/100)</f>
        <v>14</v>
      </c>
      <c r="F6" s="35">
        <f>Raw_Data_Quantitative!G66*(1-Raw_Data_Quantitative!G50/100)</f>
        <v>22.290600000000001</v>
      </c>
      <c r="G6" s="35">
        <f>Raw_Data_Quantitative!H66*(1-Raw_Data_Quantitative!H50/100)</f>
        <v>20.3</v>
      </c>
      <c r="H6" s="35">
        <f>Raw_Data_Quantitative!I66*(1-Raw_Data_Quantitative!I50/100)</f>
        <v>0.89549999999999996</v>
      </c>
      <c r="I6" s="35">
        <f>Raw_Data_Quantitative!J66*(1-Raw_Data_Quantitative!J50/100)</f>
        <v>25.52</v>
      </c>
      <c r="J6" s="35">
        <f>Raw_Data_Quantitative!K66*(1-Raw_Data_Quantitative!K50/100)</f>
        <v>103.83499999999999</v>
      </c>
      <c r="K6" s="35">
        <f>Raw_Data_Quantitative!L66*(1-Raw_Data_Quantitative!L50/100)</f>
        <v>121.532</v>
      </c>
      <c r="L6" s="35">
        <f>Raw_Data_Quantitative!M66*(1-Raw_Data_Quantitative!M50/100)</f>
        <v>2.0999999999999996</v>
      </c>
      <c r="M6" s="35">
        <f>Raw_Data_Quantitative!N66*(1-Raw_Data_Quantitative!N50/100)</f>
        <v>21.706399999999999</v>
      </c>
      <c r="N6" s="35">
        <f>Raw_Data_Quantitative!O66*(1-Raw_Data_Quantitative!O50/100)</f>
        <v>13.024000000000001</v>
      </c>
      <c r="O6" s="35">
        <f>Raw_Data_Quantitative!P66*(1-Raw_Data_Quantitative!P50/100)</f>
        <v>36.998400000000004</v>
      </c>
      <c r="P6" s="35">
        <f>Raw_Data_Quantitative!Q66*(1-Raw_Data_Quantitative!Q50/100)</f>
        <v>1.2604</v>
      </c>
      <c r="Q6" s="35">
        <f>Raw_Data_Quantitative!R66*(1-Raw_Data_Quantitative!R50/100)</f>
        <v>5.5551999999999992</v>
      </c>
      <c r="R6" s="35">
        <f>Raw_Data_Quantitative!S66*(1-Raw_Data_Quantitative!S50/100)</f>
        <v>27.52</v>
      </c>
      <c r="S6" s="35">
        <f>Raw_Data_Quantitative!T66*(1-Raw_Data_Quantitative!T50/100)</f>
        <v>16.383499999999998</v>
      </c>
      <c r="T6" s="35">
        <f>Raw_Data_Quantitative!U66*(1-Raw_Data_Quantitative!U50/100)</f>
        <v>2.3919999999999999</v>
      </c>
      <c r="U6" s="35">
        <f>Raw_Data_Quantitative!V66*(1-Raw_Data_Quantitative!V50/100)</f>
        <v>28.718</v>
      </c>
      <c r="V6" s="35">
        <f>Raw_Data_Quantitative!W66*(1-Raw_Data_Quantitative!W50/100)</f>
        <v>1.5449999999999999</v>
      </c>
      <c r="W6" s="35">
        <f>Raw_Data_Quantitative!X66*(1-Raw_Data_Quantitative!X50/100)</f>
        <v>25.38</v>
      </c>
      <c r="X6" s="35">
        <f>Raw_Data_Quantitative!Y66*(1-Raw_Data_Quantitative!Y50/100)</f>
        <v>172.19799999999998</v>
      </c>
      <c r="Y6" s="35">
        <f>Raw_Data_Quantitative!Z66*(1-Raw_Data_Quantitative!Z50/100)</f>
        <v>3.8051999999999997</v>
      </c>
      <c r="Z6" s="35">
        <f>Raw_Data_Quantitative!AA66*(1-Raw_Data_Quantitative!AA50/100)</f>
        <v>7.6000000000000012E-2</v>
      </c>
      <c r="AA6" s="35">
        <f>Raw_Data_Quantitative!AB66*(1-Raw_Data_Quantitative!AB50/100)</f>
        <v>18.5</v>
      </c>
      <c r="AB6" s="35">
        <f>Raw_Data_Quantitative!AC66*(1-Raw_Data_Quantitative!AC50/100)</f>
        <v>8.4710000000000001</v>
      </c>
      <c r="AC6" s="35">
        <f>Raw_Data_Quantitative!AD66*(1-Raw_Data_Quantitative!AD50/100)</f>
        <v>8.17</v>
      </c>
      <c r="AD6" s="35">
        <f>Raw_Data_Quantitative!AE66*(1-Raw_Data_Quantitative!AE50/100)</f>
        <v>63.866599999999998</v>
      </c>
      <c r="AE6" s="35">
        <f>Raw_Data_Quantitative!AF66*(1-Raw_Data_Quantitative!AF50/100)</f>
        <v>19.404300000000003</v>
      </c>
      <c r="AF6" s="35">
        <f>Raw_Data_Quantitative!AG66*(1-Raw_Data_Quantitative!AG50/100)</f>
        <v>10.192400000000001</v>
      </c>
      <c r="AG6" s="31">
        <f t="shared" si="0"/>
        <v>809.452</v>
      </c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</row>
    <row r="7" spans="1:46" ht="15.75" customHeight="1" x14ac:dyDescent="0.25">
      <c r="A7" s="102"/>
      <c r="B7" s="37" t="s">
        <v>160</v>
      </c>
      <c r="C7" s="34">
        <f>IF(Raw_Data_Quantitative!D58=0,C6,Raw_Data_Quantitative!D67*(1-Raw_Data_Quantitative!D58/100))</f>
        <v>8.3094110000000008</v>
      </c>
      <c r="D7" s="34">
        <f>IF(Raw_Data_Quantitative!E58=0,D6,Raw_Data_Quantitative!E67*(1-Raw_Data_Quantitative!E58/100))</f>
        <v>0.27659174999999991</v>
      </c>
      <c r="E7" s="34">
        <f>IF(Raw_Data_Quantitative!F58=0,E6,Raw_Data_Quantitative!F67*(1-Raw_Data_Quantitative!F58/100))</f>
        <v>9.7092098999999994</v>
      </c>
      <c r="F7" s="34">
        <f>IF(Raw_Data_Quantitative!G58=0,F6,Raw_Data_Quantitative!G67*(1-Raw_Data_Quantitative!G58/100))</f>
        <v>20.266313699999998</v>
      </c>
      <c r="G7" s="34">
        <f>IF(Raw_Data_Quantitative!H58=0,G6,Raw_Data_Quantitative!H67*(1-Raw_Data_Quantitative!H58/100))</f>
        <v>13.07203866</v>
      </c>
      <c r="H7" s="34">
        <f>IF(Raw_Data_Quantitative!I58=0,H6,Raw_Data_Quantitative!I67*(1-Raw_Data_Quantitative!I58/100))</f>
        <v>0.67498514999999992</v>
      </c>
      <c r="I7" s="34">
        <f>IF(Raw_Data_Quantitative!J58=0,I6,Raw_Data_Quantitative!J67*(1-Raw_Data_Quantitative!J58/100))</f>
        <v>18.349504499999998</v>
      </c>
      <c r="J7" s="34">
        <f>IF(Raw_Data_Quantitative!K58=0,J6,Raw_Data_Quantitative!K67*(1-Raw_Data_Quantitative!K58/100))</f>
        <v>92.07254069999999</v>
      </c>
      <c r="K7" s="34">
        <f>IF(Raw_Data_Quantitative!L58=0,K6,Raw_Data_Quantitative!L67*(1-Raw_Data_Quantitative!L58/100))</f>
        <v>64.5966738682</v>
      </c>
      <c r="L7" s="34">
        <f>IF(Raw_Data_Quantitative!M58=0,L6,Raw_Data_Quantitative!M67*(1-Raw_Data_Quantitative!M58/100))</f>
        <v>1.56506675</v>
      </c>
      <c r="M7" s="34">
        <f>IF(Raw_Data_Quantitative!N58=0,M6,Raw_Data_Quantitative!N67*(1-Raw_Data_Quantitative!N58/100))</f>
        <v>19.111044499999998</v>
      </c>
      <c r="N7" s="34">
        <f>IF(Raw_Data_Quantitative!O58=0,N6,Raw_Data_Quantitative!O67*(1-Raw_Data_Quantitative!O58/100))</f>
        <v>10.924645550000001</v>
      </c>
      <c r="O7" s="34">
        <f>IF(Raw_Data_Quantitative!P58=0,O6,Raw_Data_Quantitative!P67*(1-Raw_Data_Quantitative!P58/100))</f>
        <v>0</v>
      </c>
      <c r="P7" s="34">
        <f>IF(Raw_Data_Quantitative!Q58=0,P6,Raw_Data_Quantitative!Q67*(1-Raw_Data_Quantitative!Q58/100))</f>
        <v>0.62345462500000004</v>
      </c>
      <c r="Q7" s="34">
        <f>IF(Raw_Data_Quantitative!R58=0,Q6,Raw_Data_Quantitative!R67*(1-Raw_Data_Quantitative!R58/100))</f>
        <v>5.5551999999999992</v>
      </c>
      <c r="R7" s="34">
        <f>IF(Raw_Data_Quantitative!S58=0,R6,Raw_Data_Quantitative!S67*(1-Raw_Data_Quantitative!S58/100))</f>
        <v>18.346591499999999</v>
      </c>
      <c r="S7" s="34">
        <f>IF(Raw_Data_Quantitative!T58=0,S6,Raw_Data_Quantitative!T67*(1-Raw_Data_Quantitative!T58/100))</f>
        <v>6.2900718749999998</v>
      </c>
      <c r="T7" s="34">
        <f>IF(Raw_Data_Quantitative!U58=0,T6,Raw_Data_Quantitative!U67*(1-Raw_Data_Quantitative!U58/100))</f>
        <v>2.3919999999999999</v>
      </c>
      <c r="U7" s="34">
        <f>IF(Raw_Data_Quantitative!V58=0,U6,Raw_Data_Quantitative!V67*(1-Raw_Data_Quantitative!V58/100))</f>
        <v>18.789507069999999</v>
      </c>
      <c r="V7" s="34">
        <f>IF(Raw_Data_Quantitative!W58=0,V6,Raw_Data_Quantitative!W67*(1-Raw_Data_Quantitative!W58/100))</f>
        <v>1.3220836200000001</v>
      </c>
      <c r="W7" s="34">
        <f>IF(Raw_Data_Quantitative!X58=0,W6,Raw_Data_Quantitative!X67*(1-Raw_Data_Quantitative!X58/100))</f>
        <v>28.615906000000003</v>
      </c>
      <c r="X7" s="34">
        <f>IF(Raw_Data_Quantitative!Y58=0,X6,Raw_Data_Quantitative!Y67*(1-Raw_Data_Quantitative!Y58/100))</f>
        <v>0</v>
      </c>
      <c r="Y7" s="34">
        <f>IF(Raw_Data_Quantitative!Z58=0,Y6,Raw_Data_Quantitative!Z67*(1-Raw_Data_Quantitative!Z58/100))</f>
        <v>1.3617838355000005</v>
      </c>
      <c r="Z7" s="34">
        <f>IF(Raw_Data_Quantitative!AA58=0,Z6,Raw_Data_Quantitative!AA67*(1-Raw_Data_Quantitative!AA58/100))</f>
        <v>6.6141124999999995E-2</v>
      </c>
      <c r="AA7" s="34">
        <f>IF(Raw_Data_Quantitative!AB58=0,AA6,Raw_Data_Quantitative!AB67*(1-Raw_Data_Quantitative!AB58/100))</f>
        <v>18.5</v>
      </c>
      <c r="AB7" s="34">
        <f>IF(Raw_Data_Quantitative!AC58=0,AB6,Raw_Data_Quantitative!AC67*(1-Raw_Data_Quantitative!AC58/100))</f>
        <v>7.2711435</v>
      </c>
      <c r="AC7" s="34">
        <f>IF(Raw_Data_Quantitative!AD58=0,AC6,Raw_Data_Quantitative!AD67*(1-Raw_Data_Quantitative!AD58/100))</f>
        <v>2.1585993999999995</v>
      </c>
      <c r="AD7" s="34">
        <f>IF(Raw_Data_Quantitative!AE58=0,AD6,Raw_Data_Quantitative!AE67*(1-Raw_Data_Quantitative!AE58/100))</f>
        <v>20.228280999999999</v>
      </c>
      <c r="AE7" s="34">
        <f>IF(Raw_Data_Quantitative!AF58=0,AE6,Raw_Data_Quantitative!AF67*(1-Raw_Data_Quantitative!AF58/100))</f>
        <v>15.014940599999999</v>
      </c>
      <c r="AF7" s="34">
        <f>IF(Raw_Data_Quantitative!AG58=0,AF6,Raw_Data_Quantitative!AG67*(1-Raw_Data_Quantitative!AG58/100))</f>
        <v>5.5831045500000007</v>
      </c>
      <c r="AG7" s="31">
        <f t="shared" si="0"/>
        <v>411.04683472869999</v>
      </c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ht="15.75" customHeight="1" x14ac:dyDescent="0.25">
      <c r="A8" s="102"/>
      <c r="B8" s="29" t="s">
        <v>161</v>
      </c>
      <c r="C8" s="34">
        <f t="shared" ref="C8:AF8" si="2">C6-C7</f>
        <v>4.6680890000000002</v>
      </c>
      <c r="D8" s="34">
        <f t="shared" si="2"/>
        <v>0.55840825000000027</v>
      </c>
      <c r="E8" s="34">
        <f t="shared" si="2"/>
        <v>4.2907901000000006</v>
      </c>
      <c r="F8" s="34">
        <f t="shared" si="2"/>
        <v>2.0242863000000035</v>
      </c>
      <c r="G8" s="34">
        <f t="shared" si="2"/>
        <v>7.2279613400000002</v>
      </c>
      <c r="H8" s="34">
        <f t="shared" si="2"/>
        <v>0.22051485000000004</v>
      </c>
      <c r="I8" s="34">
        <f t="shared" si="2"/>
        <v>7.1704955000000012</v>
      </c>
      <c r="J8" s="34">
        <f t="shared" si="2"/>
        <v>11.762459300000003</v>
      </c>
      <c r="K8" s="34">
        <f t="shared" si="2"/>
        <v>56.935326131799997</v>
      </c>
      <c r="L8" s="34">
        <f t="shared" si="2"/>
        <v>0.53493324999999969</v>
      </c>
      <c r="M8" s="34">
        <f t="shared" si="2"/>
        <v>2.5953555000000001</v>
      </c>
      <c r="N8" s="34">
        <f t="shared" si="2"/>
        <v>2.0993544499999999</v>
      </c>
      <c r="O8" s="34">
        <f t="shared" si="2"/>
        <v>36.998400000000004</v>
      </c>
      <c r="P8" s="34">
        <f t="shared" si="2"/>
        <v>0.63694537499999992</v>
      </c>
      <c r="Q8" s="34">
        <f t="shared" si="2"/>
        <v>0</v>
      </c>
      <c r="R8" s="34">
        <f t="shared" si="2"/>
        <v>9.1734085000000007</v>
      </c>
      <c r="S8" s="34">
        <f t="shared" si="2"/>
        <v>10.093428124999999</v>
      </c>
      <c r="T8" s="34">
        <f t="shared" si="2"/>
        <v>0</v>
      </c>
      <c r="U8" s="34">
        <f t="shared" si="2"/>
        <v>9.9284929300000009</v>
      </c>
      <c r="V8" s="34">
        <f t="shared" si="2"/>
        <v>0.2229163799999998</v>
      </c>
      <c r="W8" s="34">
        <f t="shared" si="2"/>
        <v>-3.2359060000000035</v>
      </c>
      <c r="X8" s="34">
        <f t="shared" si="2"/>
        <v>172.19799999999998</v>
      </c>
      <c r="Y8" s="34">
        <f t="shared" si="2"/>
        <v>2.4434161644999994</v>
      </c>
      <c r="Z8" s="34">
        <f t="shared" si="2"/>
        <v>9.8588750000000169E-3</v>
      </c>
      <c r="AA8" s="34">
        <f t="shared" si="2"/>
        <v>0</v>
      </c>
      <c r="AB8" s="34">
        <f t="shared" si="2"/>
        <v>1.1998565000000001</v>
      </c>
      <c r="AC8" s="34">
        <f t="shared" si="2"/>
        <v>6.0114006</v>
      </c>
      <c r="AD8" s="34">
        <f t="shared" si="2"/>
        <v>43.638318999999996</v>
      </c>
      <c r="AE8" s="34">
        <f t="shared" si="2"/>
        <v>4.3893594000000036</v>
      </c>
      <c r="AF8" s="34">
        <f t="shared" si="2"/>
        <v>4.6092954500000003</v>
      </c>
      <c r="AG8" s="31">
        <f t="shared" si="0"/>
        <v>398.40516527130001</v>
      </c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 ht="15.75" customHeight="1" x14ac:dyDescent="0.25">
      <c r="A9" s="102"/>
      <c r="B9" s="29" t="s">
        <v>162</v>
      </c>
      <c r="C9" s="35">
        <f>(Raw_Data_Quantitative!D67*(Raw_Data_Quantitative!D58/100))-(Raw_Data_Quantitative!D66*(Raw_Data_Quantitative!D50/100))</f>
        <v>6.7869110000000008</v>
      </c>
      <c r="D9" s="35">
        <f>(Raw_Data_Quantitative!E67*(Raw_Data_Quantitative!E58/100))-(Raw_Data_Quantitative!E66*(Raw_Data_Quantitative!E50/100))</f>
        <v>0.82432575000000008</v>
      </c>
      <c r="E9" s="35">
        <f>(Raw_Data_Quantitative!F67*(Raw_Data_Quantitative!F58/100))-(Raw_Data_Quantitative!F66*(Raw_Data_Quantitative!F50/100))</f>
        <v>6.4728066000000002</v>
      </c>
      <c r="F9" s="35">
        <f>(Raw_Data_Quantitative!G67*(Raw_Data_Quantitative!G58/100))-(Raw_Data_Quantitative!G66*(Raw_Data_Quantitative!G50/100))</f>
        <v>6.7014758000000008</v>
      </c>
      <c r="G9" s="35">
        <f>(Raw_Data_Quantitative!H67*(Raw_Data_Quantitative!H58/100))-(Raw_Data_Quantitative!H66*(Raw_Data_Quantitative!H50/100))</f>
        <v>11.135440340000001</v>
      </c>
      <c r="H9" s="35">
        <f>(Raw_Data_Quantitative!I67*(Raw_Data_Quantitative!I58/100))-(Raw_Data_Quantitative!I66*(Raw_Data_Quantitative!I50/100))</f>
        <v>0.28477934999999999</v>
      </c>
      <c r="I9" s="35">
        <f>(Raw_Data_Quantitative!J67*(Raw_Data_Quantitative!J58/100))-(Raw_Data_Quantitative!J66*(Raw_Data_Quantitative!J50/100))</f>
        <v>11.969504499999999</v>
      </c>
      <c r="J9" s="35">
        <f>(Raw_Data_Quantitative!K67*(Raw_Data_Quantitative!K58/100))-(Raw_Data_Quantitative!K66*(Raw_Data_Quantitative!K50/100))</f>
        <v>33.994660299999993</v>
      </c>
      <c r="K9" s="35">
        <f>(Raw_Data_Quantitative!L67*(Raw_Data_Quantitative!L58/100))-(Raw_Data_Quantitative!L66*(Raw_Data_Quantitative!L50/100))</f>
        <v>77.6906831318</v>
      </c>
      <c r="L9" s="35">
        <f>(Raw_Data_Quantitative!M67*(Raw_Data_Quantitative!M58/100))-(Raw_Data_Quantitative!M66*(Raw_Data_Quantitative!M50/100))</f>
        <v>0.86506675</v>
      </c>
      <c r="M9" s="35">
        <f>(Raw_Data_Quantitative!N67*(Raw_Data_Quantitative!N58/100))-(Raw_Data_Quantitative!N66*(Raw_Data_Quantitative!N50/100))</f>
        <v>6.4174444999999984</v>
      </c>
      <c r="N9" s="35">
        <f>(Raw_Data_Quantitative!O67*(Raw_Data_Quantitative!O58/100))-(Raw_Data_Quantitative!O66*(Raw_Data_Quantitative!O50/100))</f>
        <v>4.1065014499999997</v>
      </c>
      <c r="O9" s="35">
        <f>(Raw_Data_Quantitative!P67*(Raw_Data_Quantitative!P58/100))-(Raw_Data_Quantitative!P66*(Raw_Data_Quantitative!P50/100))</f>
        <v>43.700645500000007</v>
      </c>
      <c r="P9" s="35">
        <f>(Raw_Data_Quantitative!Q67*(Raw_Data_Quantitative!Q58/100))-(Raw_Data_Quantitative!Q66*(Raw_Data_Quantitative!Q50/100))</f>
        <v>0.83076387500000037</v>
      </c>
      <c r="Q9" s="35">
        <f>(Raw_Data_Quantitative!R67*(Raw_Data_Quantitative!R58/100))-(Raw_Data_Quantitative!R66*(Raw_Data_Quantitative!R50/100))</f>
        <v>-4.48E-2</v>
      </c>
      <c r="R9" s="35">
        <f>(Raw_Data_Quantitative!S67*(Raw_Data_Quantitative!S58/100))-(Raw_Data_Quantitative!S66*(Raw_Data_Quantitative!S50/100))</f>
        <v>13.866591499999998</v>
      </c>
      <c r="S9" s="35">
        <f>(Raw_Data_Quantitative!T67*(Raw_Data_Quantitative!T58/100))-(Raw_Data_Quantitative!T66*(Raw_Data_Quantitative!T50/100))</f>
        <v>13.553715625000001</v>
      </c>
      <c r="T9" s="35">
        <f>(Raw_Data_Quantitative!U67*(Raw_Data_Quantitative!U58/100))-(Raw_Data_Quantitative!U66*(Raw_Data_Quantitative!U50/100))</f>
        <v>-2.8080000000000003</v>
      </c>
      <c r="U9" s="35">
        <f>(Raw_Data_Quantitative!V67*(Raw_Data_Quantitative!V58/100))-(Raw_Data_Quantitative!V66*(Raw_Data_Quantitative!V50/100))</f>
        <v>16.175247430000002</v>
      </c>
      <c r="V9" s="35">
        <f>(Raw_Data_Quantitative!W67*(Raw_Data_Quantitative!W58/100))-(Raw_Data_Quantitative!W66*(Raw_Data_Quantitative!W50/100))</f>
        <v>0.61287438000000005</v>
      </c>
      <c r="W9" s="35">
        <f>(Raw_Data_Quantitative!X67*(Raw_Data_Quantitative!X58/100))-(Raw_Data_Quantitative!X66*(Raw_Data_Quantitative!X50/100))</f>
        <v>2.2821690000000006</v>
      </c>
      <c r="X9" s="35">
        <f>(Raw_Data_Quantitative!Y67*(Raw_Data_Quantitative!Y58/100))-(Raw_Data_Quantitative!Y66*(Raw_Data_Quantitative!Y50/100))</f>
        <v>201.87896949999998</v>
      </c>
      <c r="Y9" s="35">
        <f>(Raw_Data_Quantitative!Z67*(Raw_Data_Quantitative!Z58/100))-(Raw_Data_Quantitative!Z66*(Raw_Data_Quantitative!Z50/100))</f>
        <v>3.4256826644999996</v>
      </c>
      <c r="Z9" s="35">
        <f>(Raw_Data_Quantitative!AA67*(Raw_Data_Quantitative!AA58/100))-(Raw_Data_Quantitative!AA66*(Raw_Data_Quantitative!AA50/100))</f>
        <v>7.4423374999999986E-2</v>
      </c>
      <c r="AA9" s="35">
        <f>(Raw_Data_Quantitative!AB67*(Raw_Data_Quantitative!AB58/100))-(Raw_Data_Quantitative!AB66*(Raw_Data_Quantitative!AB50/100))</f>
        <v>0</v>
      </c>
      <c r="AB9" s="35">
        <f>(Raw_Data_Quantitative!AC67*(Raw_Data_Quantitative!AC58/100))-(Raw_Data_Quantitative!AC66*(Raw_Data_Quantitative!AC50/100))</f>
        <v>2.2947145</v>
      </c>
      <c r="AC9" s="35">
        <f>(Raw_Data_Quantitative!AD67*(Raw_Data_Quantitative!AD58/100))-(Raw_Data_Quantitative!AD66*(Raw_Data_Quantitative!AD50/100))</f>
        <v>7.3043975999999997</v>
      </c>
      <c r="AD9" s="35">
        <f>(Raw_Data_Quantitative!AE67*(Raw_Data_Quantitative!AE58/100))-(Raw_Data_Quantitative!AE66*(Raw_Data_Quantitative!AE50/100))</f>
        <v>55.951442999999998</v>
      </c>
      <c r="AE9" s="35">
        <f>(Raw_Data_Quantitative!AF67*(Raw_Data_Quantitative!AF58/100))-(Raw_Data_Quantitative!AF66*(Raw_Data_Quantitative!AF50/100))</f>
        <v>8.1142604000000009</v>
      </c>
      <c r="AF9" s="35">
        <f>(Raw_Data_Quantitative!AG67*(Raw_Data_Quantitative!AG58/100))-(Raw_Data_Quantitative!AG66*(Raw_Data_Quantitative!AG50/100))</f>
        <v>6.6196439499999986</v>
      </c>
      <c r="AG9" s="36">
        <f t="shared" si="0"/>
        <v>541.08234177129998</v>
      </c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6" ht="15.75" customHeight="1" x14ac:dyDescent="0.25">
      <c r="A10" s="37"/>
      <c r="B10" s="37" t="s">
        <v>171</v>
      </c>
      <c r="C10" s="38"/>
      <c r="D10" s="39"/>
      <c r="E10" s="34"/>
      <c r="F10" s="34"/>
      <c r="G10" s="34"/>
      <c r="H10" s="35"/>
      <c r="I10" s="34"/>
      <c r="J10" s="34"/>
      <c r="K10" s="35"/>
      <c r="L10" s="34"/>
      <c r="M10" s="34"/>
      <c r="N10" s="34"/>
      <c r="O10" s="34"/>
      <c r="P10" s="34"/>
      <c r="Q10" s="34"/>
      <c r="R10" s="34"/>
      <c r="S10" s="34"/>
      <c r="T10" s="35"/>
      <c r="U10" s="34"/>
      <c r="V10" s="34"/>
      <c r="W10" s="34"/>
      <c r="X10" s="35"/>
      <c r="Y10" s="34"/>
      <c r="Z10" s="40"/>
      <c r="AA10" s="40"/>
      <c r="AB10" s="40"/>
      <c r="AC10" s="40"/>
      <c r="AD10" s="40"/>
      <c r="AE10" s="41"/>
      <c r="AF10" s="40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6" ht="15.75" customHeight="1" x14ac:dyDescent="0.25">
      <c r="A11" s="37"/>
      <c r="B11" s="37" t="s">
        <v>172</v>
      </c>
      <c r="C11" s="38"/>
      <c r="D11" s="39"/>
      <c r="E11" s="35"/>
      <c r="F11" s="35"/>
      <c r="G11" s="35"/>
      <c r="H11" s="35"/>
      <c r="I11" s="35"/>
      <c r="J11" s="35"/>
      <c r="K11" s="35"/>
      <c r="L11" s="35"/>
      <c r="M11" s="34"/>
      <c r="N11" s="35"/>
      <c r="O11" s="34"/>
      <c r="P11" s="34"/>
      <c r="Q11" s="35"/>
      <c r="R11" s="35"/>
      <c r="S11" s="34"/>
      <c r="T11" s="35"/>
      <c r="U11" s="34"/>
      <c r="V11" s="34"/>
      <c r="W11" s="34"/>
      <c r="X11" s="35"/>
      <c r="Y11" s="35"/>
      <c r="Z11" s="29"/>
      <c r="AA11" s="40"/>
      <c r="AB11" s="29"/>
      <c r="AC11" s="29"/>
      <c r="AD11" s="40"/>
      <c r="AE11" s="41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</row>
    <row r="12" spans="1:46" ht="15.75" customHeight="1" x14ac:dyDescent="0.25">
      <c r="A12" s="37"/>
      <c r="B12" s="37" t="s">
        <v>173</v>
      </c>
      <c r="C12" s="38"/>
      <c r="D12" s="42"/>
      <c r="E12" s="34"/>
      <c r="F12" s="35"/>
      <c r="G12" s="35"/>
      <c r="H12" s="35"/>
      <c r="I12" s="34"/>
      <c r="J12" s="35"/>
      <c r="K12" s="35"/>
      <c r="L12" s="35"/>
      <c r="M12" s="34"/>
      <c r="N12" s="34"/>
      <c r="O12" s="34"/>
      <c r="P12" s="34"/>
      <c r="Q12" s="34"/>
      <c r="R12" s="35"/>
      <c r="S12" s="34"/>
      <c r="T12" s="35"/>
      <c r="U12" s="34"/>
      <c r="V12" s="34"/>
      <c r="W12" s="34"/>
      <c r="X12" s="35"/>
      <c r="Y12" s="34"/>
      <c r="Z12" s="40"/>
      <c r="AA12" s="29"/>
      <c r="AB12" s="40"/>
      <c r="AC12" s="40"/>
      <c r="AD12" s="40"/>
      <c r="AE12" s="29"/>
      <c r="AF12" s="40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</row>
    <row r="13" spans="1:46" ht="15.75" customHeight="1" x14ac:dyDescent="0.25">
      <c r="A13" s="37"/>
      <c r="B13" s="37" t="s">
        <v>174</v>
      </c>
      <c r="C13" s="38"/>
      <c r="D13" s="42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4"/>
      <c r="U13" s="34"/>
      <c r="V13" s="35"/>
      <c r="W13" s="34"/>
      <c r="X13" s="35"/>
      <c r="Y13" s="35"/>
      <c r="Z13" s="29"/>
      <c r="AA13" s="40"/>
      <c r="AB13" s="29"/>
      <c r="AC13" s="29"/>
      <c r="AD13" s="40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</row>
    <row r="14" spans="1:46" ht="15.75" customHeight="1" x14ac:dyDescent="0.25">
      <c r="A14" s="37"/>
      <c r="B14" s="37" t="s">
        <v>175</v>
      </c>
      <c r="C14" s="38"/>
      <c r="D14" s="42"/>
      <c r="E14" s="35"/>
      <c r="F14" s="35"/>
      <c r="G14" s="35"/>
      <c r="H14" s="34"/>
      <c r="I14" s="35"/>
      <c r="J14" s="35"/>
      <c r="K14" s="35"/>
      <c r="L14" s="34"/>
      <c r="M14" s="35"/>
      <c r="N14" s="35"/>
      <c r="O14" s="34"/>
      <c r="P14" s="34"/>
      <c r="Q14" s="34"/>
      <c r="R14" s="35"/>
      <c r="S14" s="35"/>
      <c r="T14" s="35"/>
      <c r="U14" s="35"/>
      <c r="V14" s="34"/>
      <c r="W14" s="34"/>
      <c r="X14" s="35"/>
      <c r="Y14" s="35"/>
      <c r="Z14" s="29"/>
      <c r="AA14" s="29"/>
      <c r="AB14" s="29"/>
      <c r="AC14" s="29"/>
      <c r="AD14" s="29"/>
      <c r="AE14" s="29"/>
      <c r="AF14" s="40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</row>
    <row r="15" spans="1:46" ht="15.75" customHeight="1" x14ac:dyDescent="0.25">
      <c r="A15" s="29"/>
      <c r="B15" s="29"/>
      <c r="C15" s="38"/>
      <c r="D15" s="39"/>
      <c r="E15" s="35"/>
      <c r="F15" s="35"/>
      <c r="G15" s="35"/>
      <c r="H15" s="34"/>
      <c r="I15" s="35"/>
      <c r="J15" s="35"/>
      <c r="K15" s="35"/>
      <c r="L15" s="35"/>
      <c r="M15" s="35"/>
      <c r="N15" s="35"/>
      <c r="O15" s="35"/>
      <c r="P15" s="34"/>
      <c r="Q15" s="34"/>
      <c r="R15" s="35"/>
      <c r="S15" s="35"/>
      <c r="T15" s="35"/>
      <c r="U15" s="35"/>
      <c r="V15" s="34"/>
      <c r="W15" s="35"/>
      <c r="X15" s="35"/>
      <c r="Y15" s="35"/>
      <c r="Z15" s="29"/>
      <c r="AA15" s="40"/>
      <c r="AB15" s="40"/>
      <c r="AC15" s="40"/>
      <c r="AD15" s="40"/>
      <c r="AE15" s="41"/>
      <c r="AF15" s="40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</row>
    <row r="16" spans="1:46" ht="15.75" customHeight="1" x14ac:dyDescent="0.25">
      <c r="A16" s="29"/>
      <c r="B16" s="29"/>
      <c r="C16" s="38"/>
      <c r="D16" s="42"/>
      <c r="E16" s="35"/>
      <c r="F16" s="35"/>
      <c r="G16" s="35"/>
      <c r="H16" s="35"/>
      <c r="I16" s="35"/>
      <c r="J16" s="35"/>
      <c r="K16" s="35"/>
      <c r="L16" s="35"/>
      <c r="M16" s="35"/>
      <c r="N16" s="34"/>
      <c r="O16" s="35"/>
      <c r="P16" s="35"/>
      <c r="Q16" s="35"/>
      <c r="R16" s="35"/>
      <c r="S16" s="34"/>
      <c r="T16" s="35"/>
      <c r="U16" s="35"/>
      <c r="V16" s="35"/>
      <c r="W16" s="35"/>
      <c r="X16" s="35"/>
      <c r="Y16" s="35"/>
      <c r="Z16" s="29"/>
      <c r="AA16" s="40"/>
      <c r="AB16" s="40"/>
      <c r="AC16" s="40"/>
      <c r="AD16" s="40"/>
      <c r="AE16" s="29"/>
      <c r="AF16" s="40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</row>
    <row r="17" spans="1:46" ht="15.75" customHeight="1" x14ac:dyDescent="0.25">
      <c r="A17" s="29"/>
      <c r="B17" s="29"/>
      <c r="C17" s="38"/>
      <c r="D17" s="39"/>
      <c r="E17" s="34"/>
      <c r="F17" s="34"/>
      <c r="G17" s="34"/>
      <c r="H17" s="34"/>
      <c r="I17" s="34"/>
      <c r="J17" s="35"/>
      <c r="K17" s="34"/>
      <c r="L17" s="34"/>
      <c r="M17" s="34"/>
      <c r="N17" s="34"/>
      <c r="O17" s="34"/>
      <c r="P17" s="35"/>
      <c r="Q17" s="34"/>
      <c r="R17" s="35"/>
      <c r="S17" s="34"/>
      <c r="T17" s="34"/>
      <c r="U17" s="34"/>
      <c r="V17" s="35"/>
      <c r="W17" s="34"/>
      <c r="X17" s="34"/>
      <c r="Y17" s="34"/>
      <c r="Z17" s="40"/>
      <c r="AA17" s="29"/>
      <c r="AB17" s="29"/>
      <c r="AC17" s="29"/>
      <c r="AD17" s="40"/>
      <c r="AE17" s="41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</row>
    <row r="18" spans="1:46" ht="15.75" customHeight="1" x14ac:dyDescent="0.25">
      <c r="A18" s="29"/>
      <c r="B18" s="29"/>
      <c r="C18" s="38"/>
      <c r="D18" s="42"/>
      <c r="E18" s="34"/>
      <c r="F18" s="35"/>
      <c r="G18" s="34"/>
      <c r="H18" s="35"/>
      <c r="I18" s="35"/>
      <c r="J18" s="35"/>
      <c r="K18" s="34"/>
      <c r="L18" s="34"/>
      <c r="M18" s="35"/>
      <c r="N18" s="34"/>
      <c r="O18" s="34"/>
      <c r="P18" s="35"/>
      <c r="Q18" s="35"/>
      <c r="R18" s="35"/>
      <c r="S18" s="35"/>
      <c r="T18" s="35"/>
      <c r="U18" s="34"/>
      <c r="V18" s="35"/>
      <c r="W18" s="34"/>
      <c r="X18" s="35"/>
      <c r="Y18" s="34"/>
      <c r="Z18" s="29"/>
      <c r="AA18" s="40"/>
      <c r="AB18" s="40"/>
      <c r="AC18" s="40"/>
      <c r="AD18" s="40"/>
      <c r="AE18" s="29"/>
      <c r="AF18" s="40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</row>
    <row r="19" spans="1:46" ht="15.75" customHeight="1" x14ac:dyDescent="0.25">
      <c r="A19" s="29"/>
      <c r="B19" s="29"/>
      <c r="C19" s="38"/>
      <c r="D19" s="42"/>
      <c r="E19" s="34"/>
      <c r="F19" s="35"/>
      <c r="G19" s="34"/>
      <c r="H19" s="34"/>
      <c r="I19" s="35"/>
      <c r="J19" s="35"/>
      <c r="K19" s="34"/>
      <c r="L19" s="35"/>
      <c r="M19" s="35"/>
      <c r="N19" s="35"/>
      <c r="O19" s="34"/>
      <c r="P19" s="34"/>
      <c r="Q19" s="35"/>
      <c r="R19" s="35"/>
      <c r="S19" s="34"/>
      <c r="T19" s="35"/>
      <c r="U19" s="35"/>
      <c r="V19" s="35"/>
      <c r="W19" s="34"/>
      <c r="X19" s="35"/>
      <c r="Y19" s="34"/>
      <c r="Z19" s="29"/>
      <c r="AA19" s="40"/>
      <c r="AB19" s="40"/>
      <c r="AC19" s="40"/>
      <c r="AD19" s="40"/>
      <c r="AE19" s="29"/>
      <c r="AF19" s="40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 ht="15.75" customHeight="1" x14ac:dyDescent="0.25">
      <c r="A20" s="29"/>
      <c r="B20" s="29"/>
      <c r="C20" s="38"/>
      <c r="D20" s="43"/>
      <c r="E20" s="44"/>
      <c r="F20" s="44"/>
      <c r="G20" s="44"/>
      <c r="H20" s="44"/>
      <c r="I20" s="45"/>
      <c r="J20" s="34"/>
      <c r="K20" s="34"/>
      <c r="L20" s="34"/>
      <c r="M20" s="34"/>
      <c r="N20" s="34"/>
      <c r="O20" s="34"/>
      <c r="P20" s="35"/>
      <c r="Q20" s="34"/>
      <c r="R20" s="34"/>
      <c r="S20" s="34"/>
      <c r="T20" s="34"/>
      <c r="U20" s="34"/>
      <c r="V20" s="35"/>
      <c r="W20" s="34"/>
      <c r="X20" s="34"/>
      <c r="Y20" s="34"/>
      <c r="Z20" s="29"/>
      <c r="AA20" s="40"/>
      <c r="AB20" s="40"/>
      <c r="AC20" s="40"/>
      <c r="AD20" s="40"/>
      <c r="AE20" s="29"/>
      <c r="AF20" s="40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</row>
    <row r="21" spans="1:46" ht="15.75" customHeight="1" x14ac:dyDescent="0.25">
      <c r="A21" s="29"/>
      <c r="B21" s="29"/>
      <c r="C21" s="38"/>
      <c r="D21" s="42"/>
      <c r="E21" s="35"/>
      <c r="F21" s="35"/>
      <c r="G21" s="34"/>
      <c r="H21" s="34"/>
      <c r="I21" s="35"/>
      <c r="J21" s="34"/>
      <c r="K21" s="34"/>
      <c r="L21" s="34"/>
      <c r="M21" s="34"/>
      <c r="N21" s="34"/>
      <c r="O21" s="34"/>
      <c r="P21" s="35"/>
      <c r="Q21" s="35"/>
      <c r="R21" s="34"/>
      <c r="S21" s="34"/>
      <c r="T21" s="35"/>
      <c r="U21" s="35"/>
      <c r="V21" s="35"/>
      <c r="W21" s="35"/>
      <c r="X21" s="35"/>
      <c r="Y21" s="34"/>
      <c r="Z21" s="29"/>
      <c r="AA21" s="40"/>
      <c r="AB21" s="40"/>
      <c r="AC21" s="40"/>
      <c r="AD21" s="40"/>
      <c r="AE21" s="29"/>
      <c r="AF21" s="40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</row>
    <row r="22" spans="1:46" ht="15.75" customHeight="1" x14ac:dyDescent="0.25">
      <c r="A22" s="29"/>
      <c r="B22" s="29"/>
      <c r="C22" s="38"/>
      <c r="D22" s="39"/>
      <c r="E22" s="34"/>
      <c r="F22" s="35"/>
      <c r="G22" s="35"/>
      <c r="H22" s="34"/>
      <c r="I22" s="34"/>
      <c r="J22" s="35"/>
      <c r="K22" s="35"/>
      <c r="L22" s="34"/>
      <c r="M22" s="35"/>
      <c r="N22" s="35"/>
      <c r="O22" s="34"/>
      <c r="P22" s="34"/>
      <c r="Q22" s="34"/>
      <c r="R22" s="34"/>
      <c r="S22" s="34"/>
      <c r="T22" s="35"/>
      <c r="U22" s="34"/>
      <c r="V22" s="34"/>
      <c r="W22" s="34"/>
      <c r="X22" s="34"/>
      <c r="Y22" s="34"/>
      <c r="Z22" s="29"/>
      <c r="AA22" s="40"/>
      <c r="AB22" s="40"/>
      <c r="AC22" s="40"/>
      <c r="AD22" s="40"/>
      <c r="AE22" s="41"/>
      <c r="AF22" s="40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</row>
    <row r="23" spans="1:46" ht="15.75" customHeight="1" x14ac:dyDescent="0.25">
      <c r="A23" s="29"/>
      <c r="B23" s="29"/>
      <c r="C23" s="38"/>
      <c r="D23" s="39"/>
      <c r="E23" s="34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4"/>
      <c r="Q23" s="35"/>
      <c r="R23" s="35"/>
      <c r="S23" s="34"/>
      <c r="T23" s="35"/>
      <c r="U23" s="34"/>
      <c r="V23" s="34"/>
      <c r="W23" s="34"/>
      <c r="X23" s="35"/>
      <c r="Y23" s="34"/>
      <c r="Z23" s="29"/>
      <c r="AA23" s="40"/>
      <c r="AB23" s="40"/>
      <c r="AC23" s="40"/>
      <c r="AD23" s="40"/>
      <c r="AE23" s="41"/>
      <c r="AF23" s="40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</row>
    <row r="24" spans="1:46" ht="15.75" customHeight="1" x14ac:dyDescent="0.25">
      <c r="A24" s="29"/>
      <c r="B24" s="29"/>
      <c r="C24" s="38"/>
      <c r="D24" s="39"/>
      <c r="E24" s="34"/>
      <c r="F24" s="34"/>
      <c r="G24" s="35"/>
      <c r="H24" s="34"/>
      <c r="I24" s="35"/>
      <c r="J24" s="35"/>
      <c r="K24" s="35"/>
      <c r="L24" s="35"/>
      <c r="M24" s="34"/>
      <c r="N24" s="34"/>
      <c r="O24" s="35"/>
      <c r="P24" s="35"/>
      <c r="Q24" s="35"/>
      <c r="R24" s="35"/>
      <c r="S24" s="35"/>
      <c r="T24" s="34"/>
      <c r="U24" s="35"/>
      <c r="V24" s="35"/>
      <c r="W24" s="34"/>
      <c r="X24" s="35"/>
      <c r="Y24" s="34"/>
      <c r="Z24" s="29"/>
      <c r="AA24" s="40"/>
      <c r="AB24" s="40"/>
      <c r="AC24" s="40"/>
      <c r="AD24" s="40"/>
      <c r="AE24" s="29"/>
      <c r="AF24" s="40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</row>
    <row r="25" spans="1:46" ht="15.75" customHeight="1" x14ac:dyDescent="0.25">
      <c r="A25" s="29"/>
      <c r="B25" s="29"/>
      <c r="C25" s="38"/>
      <c r="D25" s="42"/>
      <c r="E25" s="34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4"/>
      <c r="Z25" s="29"/>
      <c r="AA25" s="40"/>
      <c r="AB25" s="40"/>
      <c r="AC25" s="40"/>
      <c r="AD25" s="40"/>
      <c r="AE25" s="29"/>
      <c r="AF25" s="40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</row>
    <row r="26" spans="1:46" ht="15.75" customHeight="1" x14ac:dyDescent="0.25">
      <c r="A26" s="29"/>
      <c r="B26" s="29"/>
      <c r="C26" s="38"/>
      <c r="D26" s="42"/>
      <c r="E26" s="34"/>
      <c r="F26" s="35"/>
      <c r="G26" s="35"/>
      <c r="H26" s="35"/>
      <c r="I26" s="35"/>
      <c r="J26" s="35"/>
      <c r="K26" s="35"/>
      <c r="L26" s="35"/>
      <c r="M26" s="34"/>
      <c r="N26" s="35"/>
      <c r="O26" s="35"/>
      <c r="P26" s="35"/>
      <c r="Q26" s="34"/>
      <c r="R26" s="35"/>
      <c r="S26" s="35"/>
      <c r="T26" s="35"/>
      <c r="U26" s="35"/>
      <c r="V26" s="35"/>
      <c r="W26" s="34"/>
      <c r="X26" s="35"/>
      <c r="Y26" s="34"/>
      <c r="Z26" s="29"/>
      <c r="AA26" s="40"/>
      <c r="AB26" s="40"/>
      <c r="AC26" s="40"/>
      <c r="AD26" s="40"/>
      <c r="AE26" s="29"/>
      <c r="AF26" s="40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</row>
    <row r="27" spans="1:46" ht="15.75" customHeight="1" x14ac:dyDescent="0.25">
      <c r="A27" s="29"/>
      <c r="B27" s="29"/>
      <c r="C27" s="38"/>
      <c r="D27" s="42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40"/>
      <c r="AA27" s="46"/>
      <c r="AB27" s="46"/>
      <c r="AC27" s="46"/>
      <c r="AD27" s="46"/>
      <c r="AE27" s="46"/>
      <c r="AF27" s="46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</row>
    <row r="28" spans="1:46" ht="15.75" customHeight="1" x14ac:dyDescent="0.25">
      <c r="A28" s="29"/>
      <c r="B28" s="29"/>
      <c r="C28" s="38"/>
      <c r="D28" s="39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5"/>
      <c r="S28" s="35"/>
      <c r="T28" s="34"/>
      <c r="U28" s="34"/>
      <c r="V28" s="34"/>
      <c r="W28" s="35"/>
      <c r="X28" s="34"/>
      <c r="Y28" s="34"/>
      <c r="Z28" s="40"/>
      <c r="AA28" s="40"/>
      <c r="AB28" s="40"/>
      <c r="AC28" s="40"/>
      <c r="AD28" s="40"/>
      <c r="AE28" s="29"/>
      <c r="AF28" s="40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</row>
    <row r="29" spans="1:46" ht="15.75" customHeight="1" x14ac:dyDescent="0.25">
      <c r="A29" s="29"/>
      <c r="B29" s="29"/>
      <c r="C29" s="38"/>
      <c r="D29" s="42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5"/>
      <c r="S29" s="34"/>
      <c r="T29" s="34"/>
      <c r="U29" s="34"/>
      <c r="V29" s="34"/>
      <c r="W29" s="34"/>
      <c r="X29" s="34"/>
      <c r="Y29" s="34"/>
      <c r="Z29" s="40"/>
      <c r="AA29" s="40"/>
      <c r="AB29" s="40"/>
      <c r="AC29" s="40"/>
      <c r="AD29" s="40"/>
      <c r="AE29" s="40"/>
      <c r="AF29" s="40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</row>
    <row r="30" spans="1:46" ht="15.75" customHeight="1" x14ac:dyDescent="0.25">
      <c r="A30" s="29"/>
      <c r="B30" s="29"/>
      <c r="C30" s="38"/>
      <c r="D30" s="42"/>
      <c r="E30" s="35"/>
      <c r="F30" s="35"/>
      <c r="G30" s="35"/>
      <c r="H30" s="34"/>
      <c r="I30" s="35"/>
      <c r="J30" s="35"/>
      <c r="K30" s="35"/>
      <c r="L30" s="35"/>
      <c r="M30" s="35"/>
      <c r="N30" s="35"/>
      <c r="O30" s="35"/>
      <c r="P30" s="34"/>
      <c r="Q30" s="34"/>
      <c r="R30" s="35"/>
      <c r="S30" s="35"/>
      <c r="T30" s="35"/>
      <c r="U30" s="35"/>
      <c r="V30" s="35"/>
      <c r="W30" s="34"/>
      <c r="X30" s="34"/>
      <c r="Y30" s="35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</row>
    <row r="31" spans="1:46" ht="15.75" customHeight="1" x14ac:dyDescent="0.25">
      <c r="A31" s="29"/>
      <c r="B31" s="29"/>
      <c r="C31" s="38"/>
      <c r="D31" s="42"/>
      <c r="E31" s="34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4"/>
      <c r="Q31" s="35"/>
      <c r="R31" s="35"/>
      <c r="S31" s="35"/>
      <c r="T31" s="35"/>
      <c r="U31" s="35"/>
      <c r="V31" s="35"/>
      <c r="W31" s="35"/>
      <c r="X31" s="34"/>
      <c r="Y31" s="35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</row>
    <row r="32" spans="1:46" ht="15.75" customHeight="1" x14ac:dyDescent="0.25">
      <c r="A32" s="29"/>
      <c r="B32" s="29"/>
      <c r="C32" s="38"/>
      <c r="D32" s="42"/>
      <c r="E32" s="34"/>
      <c r="F32" s="35"/>
      <c r="G32" s="35"/>
      <c r="H32" s="34"/>
      <c r="I32" s="35"/>
      <c r="J32" s="35"/>
      <c r="K32" s="35"/>
      <c r="L32" s="35"/>
      <c r="M32" s="35"/>
      <c r="N32" s="35"/>
      <c r="O32" s="35"/>
      <c r="P32" s="34"/>
      <c r="Q32" s="35"/>
      <c r="R32" s="35"/>
      <c r="S32" s="35"/>
      <c r="T32" s="35"/>
      <c r="U32" s="35"/>
      <c r="V32" s="35"/>
      <c r="W32" s="35"/>
      <c r="X32" s="35"/>
      <c r="Y32" s="35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</row>
    <row r="33" spans="1:46" ht="13.2" x14ac:dyDescent="0.25">
      <c r="A33" s="29"/>
      <c r="B33" s="29"/>
      <c r="C33" s="38"/>
      <c r="D33" s="42"/>
      <c r="E33" s="35"/>
      <c r="F33" s="35"/>
      <c r="G33" s="34"/>
      <c r="H33" s="34"/>
      <c r="I33" s="35"/>
      <c r="J33" s="34"/>
      <c r="K33" s="35"/>
      <c r="L33" s="34"/>
      <c r="M33" s="35"/>
      <c r="N33" s="34"/>
      <c r="O33" s="35"/>
      <c r="P33" s="35"/>
      <c r="Q33" s="34"/>
      <c r="R33" s="34"/>
      <c r="S33" s="34"/>
      <c r="T33" s="35"/>
      <c r="U33" s="35"/>
      <c r="V33" s="35"/>
      <c r="W33" s="34"/>
      <c r="X33" s="34"/>
      <c r="Y33" s="35"/>
      <c r="Z33" s="29"/>
      <c r="AA33" s="40"/>
      <c r="AB33" s="40"/>
      <c r="AC33" s="40"/>
      <c r="AD33" s="40"/>
      <c r="AE33" s="29"/>
      <c r="AF33" s="40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</row>
    <row r="34" spans="1:46" ht="13.2" x14ac:dyDescent="0.25">
      <c r="A34" s="29"/>
      <c r="B34" s="29"/>
      <c r="C34" s="38"/>
      <c r="D34" s="42"/>
      <c r="E34" s="35"/>
      <c r="F34" s="35"/>
      <c r="G34" s="35"/>
      <c r="H34" s="34"/>
      <c r="I34" s="35"/>
      <c r="J34" s="35"/>
      <c r="K34" s="34"/>
      <c r="L34" s="35"/>
      <c r="M34" s="35"/>
      <c r="N34" s="34"/>
      <c r="O34" s="35"/>
      <c r="P34" s="35"/>
      <c r="Q34" s="35"/>
      <c r="R34" s="35"/>
      <c r="S34" s="34"/>
      <c r="T34" s="35"/>
      <c r="U34" s="34"/>
      <c r="V34" s="35"/>
      <c r="W34" s="35"/>
      <c r="X34" s="35"/>
      <c r="Y34" s="35"/>
      <c r="Z34" s="29"/>
      <c r="AA34" s="40"/>
      <c r="AB34" s="40"/>
      <c r="AC34" s="40"/>
      <c r="AD34" s="40"/>
      <c r="AE34" s="29"/>
      <c r="AF34" s="40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</row>
    <row r="35" spans="1:46" ht="13.2" x14ac:dyDescent="0.25">
      <c r="A35" s="29"/>
      <c r="B35" s="29"/>
      <c r="C35" s="38"/>
      <c r="D35" s="42"/>
      <c r="E35" s="35"/>
      <c r="F35" s="34"/>
      <c r="G35" s="34"/>
      <c r="H35" s="34"/>
      <c r="I35" s="35"/>
      <c r="J35" s="34"/>
      <c r="K35" s="35"/>
      <c r="L35" s="35"/>
      <c r="M35" s="34"/>
      <c r="N35" s="35"/>
      <c r="O35" s="35"/>
      <c r="P35" s="35"/>
      <c r="Q35" s="35"/>
      <c r="R35" s="34"/>
      <c r="S35" s="35"/>
      <c r="T35" s="34"/>
      <c r="U35" s="35"/>
      <c r="V35" s="35"/>
      <c r="W35" s="35"/>
      <c r="X35" s="35"/>
      <c r="Y35" s="35"/>
      <c r="Z35" s="29"/>
      <c r="AA35" s="40"/>
      <c r="AB35" s="40"/>
      <c r="AC35" s="40"/>
      <c r="AD35" s="40"/>
      <c r="AE35" s="29"/>
      <c r="AF35" s="40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</row>
    <row r="36" spans="1:46" ht="13.2" x14ac:dyDescent="0.25">
      <c r="A36" s="29"/>
      <c r="B36" s="29"/>
      <c r="C36" s="38"/>
      <c r="D36" s="34"/>
      <c r="E36" s="34"/>
      <c r="F36" s="35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40"/>
      <c r="AA36" s="40"/>
      <c r="AB36" s="40"/>
      <c r="AC36" s="40"/>
      <c r="AD36" s="40"/>
      <c r="AE36" s="29"/>
      <c r="AF36" s="40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</row>
    <row r="37" spans="1:46" ht="13.2" x14ac:dyDescent="0.25">
      <c r="A37" s="29"/>
      <c r="B37" s="29"/>
      <c r="C37" s="38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29"/>
      <c r="AA37" s="40"/>
      <c r="AB37" s="40"/>
      <c r="AC37" s="40"/>
      <c r="AD37" s="40"/>
      <c r="AE37" s="29"/>
      <c r="AF37" s="40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</row>
    <row r="38" spans="1:46" ht="13.2" x14ac:dyDescent="0.25">
      <c r="A38" s="29"/>
      <c r="B38" s="29"/>
      <c r="C38" s="35"/>
      <c r="D38" s="35"/>
      <c r="E38" s="34"/>
      <c r="F38" s="35"/>
      <c r="G38" s="35"/>
      <c r="H38" s="35"/>
      <c r="I38" s="34"/>
      <c r="J38" s="35"/>
      <c r="K38" s="34"/>
      <c r="L38" s="35"/>
      <c r="M38" s="35"/>
      <c r="N38" s="35"/>
      <c r="O38" s="35"/>
      <c r="P38" s="35"/>
      <c r="Q38" s="35"/>
      <c r="R38" s="35"/>
      <c r="S38" s="34"/>
      <c r="T38" s="34"/>
      <c r="U38" s="35"/>
      <c r="V38" s="35"/>
      <c r="W38" s="35"/>
      <c r="X38" s="35"/>
      <c r="Y38" s="35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</row>
    <row r="39" spans="1:46" ht="13.2" x14ac:dyDescent="0.25">
      <c r="A39" s="29"/>
      <c r="B39" s="29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29"/>
      <c r="AA39" s="40"/>
      <c r="AB39" s="40"/>
      <c r="AC39" s="40"/>
      <c r="AD39" s="40"/>
      <c r="AE39" s="29"/>
      <c r="AF39" s="40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</row>
    <row r="40" spans="1:46" ht="13.2" x14ac:dyDescent="0.25">
      <c r="A40" s="29"/>
      <c r="B40" s="29"/>
      <c r="C40" s="34"/>
      <c r="D40" s="34"/>
      <c r="E40" s="35"/>
      <c r="F40" s="34"/>
      <c r="G40" s="35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40"/>
      <c r="AA40" s="40"/>
      <c r="AB40" s="40"/>
      <c r="AC40" s="40"/>
      <c r="AD40" s="40"/>
      <c r="AE40" s="40"/>
      <c r="AF40" s="40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</row>
    <row r="41" spans="1:46" ht="13.2" x14ac:dyDescent="0.25">
      <c r="A41" s="29"/>
      <c r="B41" s="29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5"/>
      <c r="R41" s="34"/>
      <c r="S41" s="34"/>
      <c r="T41" s="35"/>
      <c r="U41" s="34"/>
      <c r="V41" s="34"/>
      <c r="W41" s="34"/>
      <c r="X41" s="34"/>
      <c r="Y41" s="34"/>
      <c r="Z41" s="40"/>
      <c r="AA41" s="40"/>
      <c r="AB41" s="40"/>
      <c r="AC41" s="40"/>
      <c r="AD41" s="40"/>
      <c r="AE41" s="40"/>
      <c r="AF41" s="40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</row>
    <row r="42" spans="1:46" ht="13.2" x14ac:dyDescent="0.25">
      <c r="A42" s="29"/>
      <c r="B42" s="29"/>
      <c r="C42" s="35"/>
      <c r="D42" s="35"/>
      <c r="E42" s="35"/>
      <c r="F42" s="34"/>
      <c r="G42" s="35"/>
      <c r="H42" s="34"/>
      <c r="I42" s="35"/>
      <c r="J42" s="34"/>
      <c r="K42" s="34"/>
      <c r="L42" s="34"/>
      <c r="M42" s="35"/>
      <c r="N42" s="34"/>
      <c r="O42" s="34"/>
      <c r="P42" s="34"/>
      <c r="Q42" s="34"/>
      <c r="R42" s="34"/>
      <c r="S42" s="35"/>
      <c r="T42" s="34"/>
      <c r="U42" s="34"/>
      <c r="V42" s="34"/>
      <c r="W42" s="34"/>
      <c r="X42" s="34"/>
      <c r="Y42" s="34"/>
      <c r="Z42" s="40"/>
      <c r="AA42" s="40"/>
      <c r="AB42" s="40"/>
      <c r="AC42" s="40"/>
      <c r="AD42" s="40"/>
      <c r="AE42" s="29"/>
      <c r="AF42" s="40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</row>
    <row r="43" spans="1:46" ht="13.2" x14ac:dyDescent="0.25">
      <c r="A43" s="29"/>
      <c r="B43" s="29"/>
      <c r="C43" s="35"/>
      <c r="D43" s="35"/>
      <c r="E43" s="34"/>
      <c r="F43" s="34"/>
      <c r="G43" s="35"/>
      <c r="H43" s="35"/>
      <c r="I43" s="35"/>
      <c r="J43" s="34"/>
      <c r="K43" s="35"/>
      <c r="L43" s="35"/>
      <c r="M43" s="35"/>
      <c r="N43" s="34"/>
      <c r="O43" s="35"/>
      <c r="P43" s="35"/>
      <c r="Q43" s="34"/>
      <c r="R43" s="34"/>
      <c r="S43" s="35"/>
      <c r="T43" s="35"/>
      <c r="U43" s="35"/>
      <c r="V43" s="35"/>
      <c r="W43" s="35"/>
      <c r="X43" s="34"/>
      <c r="Y43" s="35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</row>
    <row r="44" spans="1:46" ht="13.2" x14ac:dyDescent="0.25">
      <c r="A44" s="29"/>
      <c r="B44" s="29"/>
      <c r="C44" s="34"/>
      <c r="D44" s="35"/>
      <c r="E44" s="34"/>
      <c r="F44" s="35"/>
      <c r="G44" s="34"/>
      <c r="H44" s="35"/>
      <c r="I44" s="34"/>
      <c r="J44" s="34"/>
      <c r="K44" s="35"/>
      <c r="L44" s="35"/>
      <c r="M44" s="35"/>
      <c r="N44" s="35"/>
      <c r="O44" s="34"/>
      <c r="P44" s="35"/>
      <c r="Q44" s="35"/>
      <c r="R44" s="34"/>
      <c r="S44" s="35"/>
      <c r="T44" s="35"/>
      <c r="U44" s="34"/>
      <c r="V44" s="35"/>
      <c r="W44" s="35"/>
      <c r="X44" s="34"/>
      <c r="Y44" s="35"/>
      <c r="Z44" s="29"/>
      <c r="AA44" s="40"/>
      <c r="AB44" s="40"/>
      <c r="AC44" s="40"/>
      <c r="AD44" s="40"/>
      <c r="AE44" s="29"/>
      <c r="AF44" s="40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</row>
    <row r="45" spans="1:46" ht="13.2" x14ac:dyDescent="0.25">
      <c r="A45" s="29"/>
      <c r="B45" s="29"/>
      <c r="C45" s="47"/>
      <c r="D45" s="47"/>
      <c r="E45" s="47"/>
      <c r="F45" s="47"/>
      <c r="G45" s="47"/>
      <c r="H45" s="47"/>
      <c r="I45" s="47"/>
      <c r="J45" s="35"/>
      <c r="K45" s="47"/>
      <c r="L45" s="47"/>
      <c r="M45" s="47"/>
      <c r="N45" s="47"/>
      <c r="O45" s="47"/>
      <c r="P45" s="35"/>
      <c r="Q45" s="47"/>
      <c r="R45" s="47"/>
      <c r="S45" s="47"/>
      <c r="T45" s="47"/>
      <c r="U45" s="47"/>
      <c r="V45" s="47"/>
      <c r="W45" s="47"/>
      <c r="X45" s="35"/>
      <c r="Y45" s="47"/>
      <c r="Z45" s="46"/>
      <c r="AA45" s="47"/>
      <c r="AB45" s="47"/>
      <c r="AC45" s="47"/>
      <c r="AD45" s="47"/>
      <c r="AE45" s="47"/>
      <c r="AF45" s="47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</row>
    <row r="46" spans="1:46" ht="13.2" x14ac:dyDescent="0.25">
      <c r="A46" s="29"/>
      <c r="B46" s="29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8"/>
      <c r="AA46" s="47"/>
      <c r="AB46" s="47"/>
      <c r="AC46" s="47"/>
      <c r="AD46" s="47"/>
      <c r="AE46" s="47"/>
      <c r="AF46" s="47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</row>
    <row r="47" spans="1:46" ht="13.2" x14ac:dyDescent="0.25">
      <c r="A47" s="29"/>
      <c r="B47" s="29"/>
      <c r="C47" s="47"/>
      <c r="D47" s="47"/>
      <c r="E47" s="47"/>
      <c r="F47" s="47"/>
      <c r="G47" s="47"/>
      <c r="H47" s="47"/>
      <c r="I47" s="47"/>
      <c r="J47" s="49"/>
      <c r="K47" s="47"/>
      <c r="L47" s="47"/>
      <c r="M47" s="47"/>
      <c r="N47" s="47"/>
      <c r="O47" s="47"/>
      <c r="P47" s="47"/>
      <c r="Q47" s="49"/>
      <c r="R47" s="47"/>
      <c r="S47" s="47"/>
      <c r="T47" s="47"/>
      <c r="U47" s="47"/>
      <c r="V47" s="47"/>
      <c r="W47" s="47"/>
      <c r="X47" s="47"/>
      <c r="Y47" s="47"/>
      <c r="Z47" s="48"/>
      <c r="AA47" s="47"/>
      <c r="AB47" s="47"/>
      <c r="AC47" s="47"/>
      <c r="AD47" s="47"/>
      <c r="AE47" s="47"/>
      <c r="AF47" s="47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</row>
    <row r="48" spans="1:46" ht="13.2" x14ac:dyDescent="0.25">
      <c r="A48" s="29"/>
      <c r="B48" s="29"/>
      <c r="C48" s="50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</row>
    <row r="49" spans="1:46" ht="13.2" x14ac:dyDescent="0.25">
      <c r="A49" s="29"/>
      <c r="B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</row>
    <row r="50" spans="1:46" ht="13.2" x14ac:dyDescent="0.25">
      <c r="A50" s="29"/>
      <c r="B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</row>
    <row r="51" spans="1:46" ht="13.2" x14ac:dyDescent="0.25">
      <c r="A51" s="29"/>
      <c r="B51" s="29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</row>
    <row r="52" spans="1:46" ht="13.2" x14ac:dyDescent="0.25">
      <c r="A52" s="29"/>
      <c r="B52" s="29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</row>
    <row r="53" spans="1:46" ht="13.2" x14ac:dyDescent="0.25">
      <c r="A53" s="29"/>
      <c r="B53" s="29"/>
      <c r="C53" s="3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</row>
    <row r="54" spans="1:46" ht="13.2" x14ac:dyDescent="0.25">
      <c r="A54" s="29"/>
      <c r="B54" s="29"/>
      <c r="C54" s="3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</row>
    <row r="55" spans="1:46" ht="13.2" x14ac:dyDescent="0.25">
      <c r="A55" s="29"/>
      <c r="B55" s="29"/>
      <c r="C55" s="3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</row>
    <row r="56" spans="1:46" ht="13.2" x14ac:dyDescent="0.25">
      <c r="A56" s="29"/>
      <c r="B56" s="29"/>
      <c r="C56" s="3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</row>
    <row r="57" spans="1:46" ht="13.2" x14ac:dyDescent="0.25">
      <c r="A57" s="29"/>
      <c r="B57" s="29"/>
      <c r="C57" s="3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</row>
    <row r="58" spans="1:46" ht="13.2" x14ac:dyDescent="0.25">
      <c r="A58" s="29"/>
      <c r="B58" s="29"/>
      <c r="C58" s="3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</row>
    <row r="59" spans="1:46" ht="13.2" x14ac:dyDescent="0.25">
      <c r="A59" s="29"/>
      <c r="B59" s="29"/>
      <c r="C59" s="3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</row>
    <row r="60" spans="1:46" ht="13.2" x14ac:dyDescent="0.25">
      <c r="A60" s="29"/>
      <c r="B60" s="29"/>
      <c r="C60" s="3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</row>
    <row r="61" spans="1:46" ht="13.2" x14ac:dyDescent="0.25">
      <c r="A61" s="29"/>
      <c r="B61" s="29"/>
      <c r="C61" s="3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</row>
    <row r="62" spans="1:46" ht="13.2" x14ac:dyDescent="0.25">
      <c r="A62" s="29"/>
      <c r="B62" s="29"/>
      <c r="C62" s="3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</row>
    <row r="63" spans="1:46" ht="13.2" x14ac:dyDescent="0.25">
      <c r="A63" s="29"/>
      <c r="B63" s="29"/>
      <c r="C63" s="3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</row>
    <row r="64" spans="1:46" ht="13.2" x14ac:dyDescent="0.25">
      <c r="A64" s="29"/>
      <c r="B64" s="29"/>
      <c r="C64" s="3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</row>
    <row r="65" spans="1:46" ht="13.2" x14ac:dyDescent="0.25">
      <c r="A65" s="29"/>
      <c r="B65" s="29"/>
      <c r="C65" s="3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1:46" ht="13.2" x14ac:dyDescent="0.25">
      <c r="A66" s="29"/>
      <c r="B66" s="29"/>
      <c r="C66" s="3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</row>
    <row r="67" spans="1:46" ht="13.2" x14ac:dyDescent="0.25">
      <c r="A67" s="29"/>
      <c r="B67" s="29"/>
      <c r="C67" s="3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</row>
    <row r="68" spans="1:46" ht="13.2" x14ac:dyDescent="0.25">
      <c r="A68" s="29"/>
      <c r="B68" s="29"/>
      <c r="C68" s="3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</row>
    <row r="69" spans="1:46" ht="13.2" x14ac:dyDescent="0.25">
      <c r="A69" s="29"/>
      <c r="B69" s="29"/>
      <c r="C69" s="3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</row>
    <row r="70" spans="1:46" ht="13.2" x14ac:dyDescent="0.25">
      <c r="A70" s="29"/>
      <c r="B70" s="29"/>
      <c r="C70" s="3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</row>
    <row r="71" spans="1:46" ht="13.2" x14ac:dyDescent="0.25">
      <c r="A71" s="29"/>
      <c r="B71" s="29"/>
      <c r="C71" s="3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</row>
    <row r="72" spans="1:46" ht="13.2" x14ac:dyDescent="0.25">
      <c r="A72" s="29"/>
      <c r="B72" s="29"/>
      <c r="C72" s="3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</row>
    <row r="73" spans="1:46" ht="13.2" x14ac:dyDescent="0.25">
      <c r="A73" s="29"/>
      <c r="B73" s="29"/>
      <c r="C73" s="3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</row>
    <row r="74" spans="1:46" ht="13.2" x14ac:dyDescent="0.25">
      <c r="A74" s="29"/>
      <c r="B74" s="29"/>
      <c r="C74" s="3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</row>
    <row r="75" spans="1:46" ht="13.2" x14ac:dyDescent="0.25">
      <c r="A75" s="29"/>
      <c r="B75" s="29"/>
      <c r="C75" s="3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</row>
    <row r="76" spans="1:46" ht="13.2" x14ac:dyDescent="0.25">
      <c r="A76" s="29"/>
      <c r="B76" s="29"/>
      <c r="C76" s="3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</row>
    <row r="77" spans="1:46" ht="13.2" x14ac:dyDescent="0.25">
      <c r="A77" s="29"/>
      <c r="B77" s="29"/>
      <c r="C77" s="3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</row>
    <row r="78" spans="1:46" ht="13.2" x14ac:dyDescent="0.25">
      <c r="A78" s="29"/>
      <c r="B78" s="29"/>
      <c r="C78" s="3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</row>
    <row r="79" spans="1:46" ht="13.2" x14ac:dyDescent="0.25">
      <c r="A79" s="29"/>
      <c r="B79" s="29"/>
      <c r="C79" s="3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</row>
    <row r="80" spans="1:46" ht="13.2" x14ac:dyDescent="0.25">
      <c r="A80" s="29"/>
      <c r="B80" s="29"/>
      <c r="C80" s="3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</row>
    <row r="81" spans="1:46" ht="13.2" x14ac:dyDescent="0.25">
      <c r="A81" s="29"/>
      <c r="B81" s="29"/>
      <c r="C81" s="3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</row>
    <row r="82" spans="1:46" ht="13.2" x14ac:dyDescent="0.25">
      <c r="A82" s="29"/>
      <c r="B82" s="29"/>
      <c r="C82" s="3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</row>
    <row r="83" spans="1:46" ht="13.2" x14ac:dyDescent="0.25">
      <c r="A83" s="29"/>
      <c r="B83" s="29"/>
      <c r="C83" s="3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</row>
    <row r="84" spans="1:46" ht="13.2" x14ac:dyDescent="0.25">
      <c r="A84" s="29"/>
      <c r="B84" s="29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</row>
    <row r="85" spans="1:46" ht="13.2" x14ac:dyDescent="0.25">
      <c r="A85" s="29"/>
      <c r="B85" s="29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</row>
    <row r="86" spans="1:46" ht="13.2" x14ac:dyDescent="0.25">
      <c r="A86" s="29"/>
      <c r="B86" s="29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</row>
    <row r="87" spans="1:46" ht="13.2" x14ac:dyDescent="0.25">
      <c r="A87" s="29"/>
      <c r="B87" s="29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</row>
    <row r="88" spans="1:46" ht="13.2" x14ac:dyDescent="0.25">
      <c r="A88" s="29"/>
      <c r="B88" s="29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</row>
    <row r="89" spans="1:46" ht="13.2" x14ac:dyDescent="0.25">
      <c r="A89" s="29"/>
      <c r="B89" s="29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</row>
    <row r="90" spans="1:46" ht="13.2" x14ac:dyDescent="0.25">
      <c r="A90" s="29"/>
      <c r="B90" s="29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</row>
    <row r="91" spans="1:46" ht="13.2" x14ac:dyDescent="0.25">
      <c r="A91" s="29"/>
      <c r="B91" s="29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</row>
    <row r="92" spans="1:46" ht="13.2" x14ac:dyDescent="0.25">
      <c r="A92" s="29"/>
      <c r="B92" s="29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</row>
    <row r="93" spans="1:46" ht="13.2" x14ac:dyDescent="0.25">
      <c r="A93" s="29"/>
      <c r="B93" s="29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</row>
    <row r="94" spans="1:46" ht="13.2" x14ac:dyDescent="0.25">
      <c r="A94" s="29"/>
      <c r="B94" s="29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</row>
    <row r="95" spans="1:46" ht="13.2" x14ac:dyDescent="0.25">
      <c r="A95" s="29"/>
      <c r="B95" s="29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</row>
    <row r="96" spans="1:46" ht="13.2" x14ac:dyDescent="0.25">
      <c r="A96" s="29"/>
      <c r="B96" s="29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</row>
    <row r="97" spans="1:46" ht="13.2" x14ac:dyDescent="0.25">
      <c r="A97" s="29"/>
      <c r="B97" s="29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</row>
    <row r="98" spans="1:46" ht="13.2" x14ac:dyDescent="0.25">
      <c r="A98" s="29"/>
      <c r="B98" s="29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</row>
    <row r="99" spans="1:46" ht="13.2" x14ac:dyDescent="0.25">
      <c r="A99" s="29"/>
      <c r="B99" s="29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</row>
    <row r="100" spans="1:46" ht="13.2" x14ac:dyDescent="0.25">
      <c r="A100" s="29"/>
      <c r="B100" s="29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</row>
    <row r="101" spans="1:46" ht="13.2" x14ac:dyDescent="0.25">
      <c r="A101" s="29"/>
      <c r="B101" s="29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</row>
    <row r="102" spans="1:46" ht="13.2" x14ac:dyDescent="0.25">
      <c r="A102" s="29"/>
      <c r="B102" s="29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</row>
    <row r="103" spans="1:46" ht="13.2" x14ac:dyDescent="0.25">
      <c r="A103" s="29"/>
      <c r="B103" s="29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</row>
    <row r="104" spans="1:46" ht="13.2" x14ac:dyDescent="0.25">
      <c r="A104" s="29"/>
      <c r="B104" s="29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</row>
    <row r="105" spans="1:46" ht="13.2" x14ac:dyDescent="0.25">
      <c r="A105" s="29"/>
      <c r="B105" s="29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</row>
    <row r="106" spans="1:46" ht="13.2" x14ac:dyDescent="0.25">
      <c r="A106" s="29"/>
      <c r="B106" s="29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</row>
    <row r="107" spans="1:46" ht="13.2" x14ac:dyDescent="0.25">
      <c r="A107" s="29"/>
      <c r="B107" s="29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</row>
    <row r="108" spans="1:46" ht="13.2" x14ac:dyDescent="0.25">
      <c r="A108" s="29"/>
      <c r="B108" s="29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</row>
    <row r="109" spans="1:46" ht="13.2" x14ac:dyDescent="0.25">
      <c r="A109" s="29"/>
      <c r="B109" s="29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</row>
    <row r="110" spans="1:46" ht="13.2" x14ac:dyDescent="0.25">
      <c r="A110" s="29"/>
      <c r="B110" s="29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</row>
    <row r="111" spans="1:46" ht="13.2" x14ac:dyDescent="0.25">
      <c r="A111" s="29"/>
      <c r="B111" s="29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</row>
    <row r="112" spans="1:46" ht="13.2" x14ac:dyDescent="0.25">
      <c r="A112" s="29"/>
      <c r="B112" s="29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</row>
    <row r="113" spans="1:46" ht="13.2" x14ac:dyDescent="0.25">
      <c r="A113" s="29"/>
      <c r="B113" s="29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</row>
    <row r="114" spans="1:46" ht="13.2" x14ac:dyDescent="0.25">
      <c r="A114" s="29"/>
      <c r="B114" s="29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</row>
    <row r="115" spans="1:46" ht="13.2" x14ac:dyDescent="0.25">
      <c r="A115" s="29"/>
      <c r="B115" s="29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</row>
    <row r="116" spans="1:46" ht="13.2" x14ac:dyDescent="0.25">
      <c r="A116" s="29"/>
      <c r="B116" s="29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</row>
    <row r="117" spans="1:46" ht="13.2" x14ac:dyDescent="0.25">
      <c r="A117" s="29"/>
      <c r="B117" s="29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</row>
    <row r="118" spans="1:46" ht="13.2" x14ac:dyDescent="0.25">
      <c r="A118" s="29"/>
      <c r="B118" s="29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</row>
    <row r="119" spans="1:46" ht="13.2" x14ac:dyDescent="0.25">
      <c r="A119" s="29"/>
      <c r="B119" s="29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</row>
    <row r="120" spans="1:46" ht="13.2" x14ac:dyDescent="0.25">
      <c r="A120" s="29"/>
      <c r="B120" s="29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</row>
    <row r="121" spans="1:46" ht="13.2" x14ac:dyDescent="0.25">
      <c r="A121" s="29"/>
      <c r="B121" s="29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</row>
    <row r="122" spans="1:46" ht="13.2" x14ac:dyDescent="0.25">
      <c r="A122" s="29"/>
      <c r="B122" s="29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</row>
    <row r="123" spans="1:46" ht="13.2" x14ac:dyDescent="0.25">
      <c r="A123" s="29"/>
      <c r="B123" s="29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</row>
    <row r="124" spans="1:46" ht="13.2" x14ac:dyDescent="0.25">
      <c r="A124" s="29"/>
      <c r="B124" s="29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</row>
    <row r="125" spans="1:46" ht="13.2" x14ac:dyDescent="0.25">
      <c r="A125" s="29"/>
      <c r="B125" s="29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</row>
    <row r="126" spans="1:46" ht="13.2" x14ac:dyDescent="0.25">
      <c r="A126" s="29"/>
      <c r="B126" s="29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</row>
    <row r="127" spans="1:46" ht="13.2" x14ac:dyDescent="0.25">
      <c r="A127" s="29"/>
      <c r="B127" s="29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</row>
    <row r="128" spans="1:46" ht="13.2" x14ac:dyDescent="0.25">
      <c r="A128" s="29"/>
      <c r="B128" s="29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</row>
    <row r="129" spans="1:46" ht="13.2" x14ac:dyDescent="0.25">
      <c r="A129" s="29"/>
      <c r="B129" s="29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</row>
    <row r="130" spans="1:46" ht="13.2" x14ac:dyDescent="0.25">
      <c r="A130" s="29"/>
      <c r="B130" s="29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</row>
    <row r="131" spans="1:46" ht="13.2" x14ac:dyDescent="0.25">
      <c r="A131" s="29"/>
      <c r="B131" s="29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</row>
    <row r="132" spans="1:46" ht="13.2" x14ac:dyDescent="0.25">
      <c r="A132" s="29"/>
      <c r="B132" s="29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</row>
    <row r="133" spans="1:46" ht="13.2" x14ac:dyDescent="0.25">
      <c r="A133" s="29"/>
      <c r="B133" s="29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</row>
    <row r="134" spans="1:46" ht="13.2" x14ac:dyDescent="0.25">
      <c r="A134" s="29"/>
      <c r="B134" s="29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</row>
    <row r="135" spans="1:46" ht="13.2" x14ac:dyDescent="0.25">
      <c r="A135" s="29"/>
      <c r="B135" s="29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</row>
    <row r="136" spans="1:46" ht="13.2" x14ac:dyDescent="0.25">
      <c r="A136" s="29"/>
      <c r="B136" s="29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</row>
    <row r="137" spans="1:46" ht="13.2" x14ac:dyDescent="0.25">
      <c r="A137" s="29"/>
      <c r="B137" s="29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</row>
    <row r="138" spans="1:46" ht="13.2" x14ac:dyDescent="0.25">
      <c r="A138" s="29"/>
      <c r="B138" s="29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</row>
    <row r="139" spans="1:46" ht="13.2" x14ac:dyDescent="0.25">
      <c r="A139" s="29"/>
      <c r="B139" s="29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</row>
    <row r="140" spans="1:46" ht="13.2" x14ac:dyDescent="0.25">
      <c r="A140" s="29"/>
      <c r="B140" s="29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</row>
    <row r="141" spans="1:46" ht="13.2" x14ac:dyDescent="0.25">
      <c r="A141" s="29"/>
      <c r="B141" s="29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</row>
    <row r="142" spans="1:46" ht="13.2" x14ac:dyDescent="0.25">
      <c r="A142" s="29"/>
      <c r="B142" s="29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</row>
    <row r="143" spans="1:46" ht="13.2" x14ac:dyDescent="0.25">
      <c r="A143" s="29"/>
      <c r="B143" s="29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</row>
    <row r="144" spans="1:46" ht="13.2" x14ac:dyDescent="0.25">
      <c r="A144" s="29"/>
      <c r="B144" s="29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</row>
    <row r="145" spans="1:46" ht="13.2" x14ac:dyDescent="0.25">
      <c r="A145" s="29"/>
      <c r="B145" s="29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</row>
    <row r="146" spans="1:46" ht="13.2" x14ac:dyDescent="0.25">
      <c r="A146" s="29"/>
      <c r="B146" s="29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</row>
    <row r="147" spans="1:46" ht="13.2" x14ac:dyDescent="0.25">
      <c r="A147" s="29"/>
      <c r="B147" s="29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</row>
    <row r="148" spans="1:46" ht="13.2" x14ac:dyDescent="0.25">
      <c r="A148" s="29"/>
      <c r="B148" s="29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</row>
    <row r="149" spans="1:46" ht="13.2" x14ac:dyDescent="0.25">
      <c r="A149" s="29"/>
      <c r="B149" s="29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</row>
    <row r="150" spans="1:46" ht="13.2" x14ac:dyDescent="0.25">
      <c r="A150" s="29"/>
      <c r="B150" s="29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</row>
    <row r="151" spans="1:46" ht="13.2" x14ac:dyDescent="0.25">
      <c r="A151" s="29"/>
      <c r="B151" s="29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</row>
    <row r="152" spans="1:46" ht="13.2" x14ac:dyDescent="0.25">
      <c r="A152" s="29"/>
      <c r="B152" s="29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</row>
    <row r="153" spans="1:46" ht="13.2" x14ac:dyDescent="0.25">
      <c r="A153" s="29"/>
      <c r="B153" s="29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</row>
    <row r="154" spans="1:46" ht="13.2" x14ac:dyDescent="0.25">
      <c r="A154" s="29"/>
      <c r="B154" s="29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</row>
    <row r="155" spans="1:46" ht="13.2" x14ac:dyDescent="0.25">
      <c r="A155" s="29"/>
      <c r="B155" s="29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</row>
    <row r="156" spans="1:46" ht="13.2" x14ac:dyDescent="0.25">
      <c r="A156" s="29"/>
      <c r="B156" s="29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</row>
    <row r="157" spans="1:46" ht="13.2" x14ac:dyDescent="0.25">
      <c r="A157" s="29"/>
      <c r="B157" s="29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</row>
    <row r="158" spans="1:46" ht="13.2" x14ac:dyDescent="0.25">
      <c r="A158" s="29"/>
      <c r="B158" s="29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</row>
    <row r="159" spans="1:46" ht="13.2" x14ac:dyDescent="0.25">
      <c r="A159" s="29"/>
      <c r="B159" s="29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</row>
    <row r="160" spans="1:46" ht="13.2" x14ac:dyDescent="0.25">
      <c r="A160" s="29"/>
      <c r="B160" s="29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</row>
    <row r="161" spans="1:46" ht="13.2" x14ac:dyDescent="0.25">
      <c r="A161" s="29"/>
      <c r="B161" s="29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</row>
    <row r="162" spans="1:46" ht="13.2" x14ac:dyDescent="0.25">
      <c r="A162" s="29"/>
      <c r="B162" s="29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</row>
    <row r="163" spans="1:46" ht="13.2" x14ac:dyDescent="0.25">
      <c r="A163" s="29"/>
      <c r="B163" s="29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</row>
    <row r="164" spans="1:46" ht="13.2" x14ac:dyDescent="0.25">
      <c r="A164" s="29"/>
      <c r="B164" s="29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</row>
    <row r="165" spans="1:46" ht="13.2" x14ac:dyDescent="0.25">
      <c r="A165" s="29"/>
      <c r="B165" s="29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</row>
    <row r="166" spans="1:46" ht="13.2" x14ac:dyDescent="0.25">
      <c r="A166" s="29"/>
      <c r="B166" s="29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</row>
    <row r="167" spans="1:46" ht="13.2" x14ac:dyDescent="0.25">
      <c r="A167" s="29"/>
      <c r="B167" s="29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</row>
    <row r="168" spans="1:46" ht="13.2" x14ac:dyDescent="0.25">
      <c r="A168" s="29"/>
      <c r="B168" s="29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</row>
    <row r="169" spans="1:46" ht="13.2" x14ac:dyDescent="0.25">
      <c r="A169" s="29"/>
      <c r="B169" s="29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</row>
    <row r="170" spans="1:46" ht="13.2" x14ac:dyDescent="0.25">
      <c r="A170" s="29"/>
      <c r="B170" s="29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</row>
    <row r="171" spans="1:46" ht="13.2" x14ac:dyDescent="0.25">
      <c r="A171" s="29"/>
      <c r="B171" s="29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</row>
    <row r="172" spans="1:46" ht="13.2" x14ac:dyDescent="0.25">
      <c r="A172" s="29"/>
      <c r="B172" s="29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</row>
    <row r="173" spans="1:46" ht="13.2" x14ac:dyDescent="0.25">
      <c r="A173" s="29"/>
      <c r="B173" s="29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</row>
    <row r="174" spans="1:46" ht="13.2" x14ac:dyDescent="0.25">
      <c r="A174" s="29"/>
      <c r="B174" s="29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</row>
    <row r="175" spans="1:46" ht="13.2" x14ac:dyDescent="0.25">
      <c r="A175" s="29"/>
      <c r="B175" s="29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</row>
    <row r="176" spans="1:46" ht="13.2" x14ac:dyDescent="0.25">
      <c r="A176" s="29"/>
      <c r="B176" s="29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</row>
    <row r="177" spans="1:46" ht="13.2" x14ac:dyDescent="0.25">
      <c r="A177" s="29"/>
      <c r="B177" s="29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</row>
    <row r="178" spans="1:46" ht="13.2" x14ac:dyDescent="0.25">
      <c r="A178" s="29"/>
      <c r="B178" s="29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</row>
    <row r="179" spans="1:46" ht="13.2" x14ac:dyDescent="0.25">
      <c r="A179" s="29"/>
      <c r="B179" s="29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</row>
    <row r="180" spans="1:46" ht="13.2" x14ac:dyDescent="0.25">
      <c r="A180" s="29"/>
      <c r="B180" s="29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</row>
    <row r="181" spans="1:46" ht="13.2" x14ac:dyDescent="0.25">
      <c r="A181" s="29"/>
      <c r="B181" s="29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</row>
    <row r="182" spans="1:46" ht="13.2" x14ac:dyDescent="0.25">
      <c r="A182" s="29"/>
      <c r="B182" s="29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</row>
    <row r="183" spans="1:46" ht="13.2" x14ac:dyDescent="0.25">
      <c r="A183" s="29"/>
      <c r="B183" s="29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</row>
    <row r="184" spans="1:46" ht="13.2" x14ac:dyDescent="0.25">
      <c r="A184" s="29"/>
      <c r="B184" s="29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</row>
    <row r="185" spans="1:46" ht="13.2" x14ac:dyDescent="0.25">
      <c r="A185" s="29"/>
      <c r="B185" s="29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</row>
    <row r="186" spans="1:46" ht="13.2" x14ac:dyDescent="0.25">
      <c r="A186" s="29"/>
      <c r="B186" s="29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</row>
    <row r="187" spans="1:46" ht="13.2" x14ac:dyDescent="0.25">
      <c r="A187" s="29"/>
      <c r="B187" s="29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</row>
    <row r="188" spans="1:46" ht="13.2" x14ac:dyDescent="0.25">
      <c r="A188" s="29"/>
      <c r="B188" s="29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</row>
    <row r="189" spans="1:46" ht="13.2" x14ac:dyDescent="0.25">
      <c r="A189" s="29"/>
      <c r="B189" s="29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</row>
    <row r="190" spans="1:46" ht="13.2" x14ac:dyDescent="0.25">
      <c r="A190" s="29"/>
      <c r="B190" s="29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</row>
    <row r="191" spans="1:46" ht="13.2" x14ac:dyDescent="0.25">
      <c r="A191" s="29"/>
      <c r="B191" s="29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</row>
    <row r="192" spans="1:46" ht="13.2" x14ac:dyDescent="0.25">
      <c r="A192" s="29"/>
      <c r="B192" s="29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</row>
    <row r="193" spans="1:46" ht="13.2" x14ac:dyDescent="0.25">
      <c r="A193" s="29"/>
      <c r="B193" s="29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</row>
    <row r="194" spans="1:46" ht="13.2" x14ac:dyDescent="0.25">
      <c r="A194" s="29"/>
      <c r="B194" s="29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</row>
    <row r="195" spans="1:46" ht="13.2" x14ac:dyDescent="0.25">
      <c r="A195" s="29"/>
      <c r="B195" s="29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</row>
    <row r="196" spans="1:46" ht="13.2" x14ac:dyDescent="0.25">
      <c r="A196" s="29"/>
      <c r="B196" s="29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</row>
    <row r="197" spans="1:46" ht="13.2" x14ac:dyDescent="0.25">
      <c r="A197" s="29"/>
      <c r="B197" s="29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</row>
    <row r="198" spans="1:46" ht="13.2" x14ac:dyDescent="0.25">
      <c r="A198" s="29"/>
      <c r="B198" s="29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</row>
    <row r="199" spans="1:46" ht="13.2" x14ac:dyDescent="0.25">
      <c r="A199" s="29"/>
      <c r="B199" s="29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</row>
    <row r="200" spans="1:46" ht="13.2" x14ac:dyDescent="0.25">
      <c r="A200" s="29"/>
      <c r="B200" s="29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</row>
    <row r="201" spans="1:46" ht="13.2" x14ac:dyDescent="0.25">
      <c r="A201" s="29"/>
      <c r="B201" s="29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</row>
    <row r="202" spans="1:46" ht="13.2" x14ac:dyDescent="0.25">
      <c r="A202" s="29"/>
      <c r="B202" s="29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</row>
    <row r="203" spans="1:46" ht="13.2" x14ac:dyDescent="0.25">
      <c r="A203" s="29"/>
      <c r="B203" s="29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</row>
    <row r="204" spans="1:46" ht="13.2" x14ac:dyDescent="0.25">
      <c r="A204" s="29"/>
      <c r="B204" s="29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</row>
    <row r="205" spans="1:46" ht="13.2" x14ac:dyDescent="0.25">
      <c r="A205" s="29"/>
      <c r="B205" s="29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</row>
    <row r="206" spans="1:46" ht="13.2" x14ac:dyDescent="0.25">
      <c r="A206" s="29"/>
      <c r="B206" s="29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</row>
    <row r="207" spans="1:46" ht="13.2" x14ac:dyDescent="0.25">
      <c r="A207" s="29"/>
      <c r="B207" s="29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</row>
    <row r="208" spans="1:46" ht="13.2" x14ac:dyDescent="0.25">
      <c r="A208" s="29"/>
      <c r="B208" s="29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</row>
    <row r="209" spans="1:46" ht="13.2" x14ac:dyDescent="0.25">
      <c r="A209" s="29"/>
      <c r="B209" s="29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</row>
    <row r="210" spans="1:46" ht="13.2" x14ac:dyDescent="0.25">
      <c r="A210" s="29"/>
      <c r="B210" s="29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</row>
    <row r="211" spans="1:46" ht="13.2" x14ac:dyDescent="0.25">
      <c r="A211" s="29"/>
      <c r="B211" s="29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</row>
    <row r="212" spans="1:46" ht="13.2" x14ac:dyDescent="0.25">
      <c r="A212" s="29"/>
      <c r="B212" s="29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</row>
    <row r="213" spans="1:46" ht="13.2" x14ac:dyDescent="0.25">
      <c r="A213" s="29"/>
      <c r="B213" s="29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</row>
    <row r="214" spans="1:46" ht="13.2" x14ac:dyDescent="0.25">
      <c r="A214" s="29"/>
      <c r="B214" s="29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</row>
    <row r="215" spans="1:46" ht="13.2" x14ac:dyDescent="0.25">
      <c r="A215" s="29"/>
      <c r="B215" s="29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</row>
    <row r="216" spans="1:46" ht="13.2" x14ac:dyDescent="0.25">
      <c r="A216" s="29"/>
      <c r="B216" s="29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</row>
    <row r="217" spans="1:46" ht="13.2" x14ac:dyDescent="0.25">
      <c r="A217" s="29"/>
      <c r="B217" s="29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</row>
    <row r="218" spans="1:46" ht="13.2" x14ac:dyDescent="0.25">
      <c r="A218" s="29"/>
      <c r="B218" s="29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</row>
    <row r="219" spans="1:46" ht="13.2" x14ac:dyDescent="0.25">
      <c r="A219" s="29"/>
      <c r="B219" s="29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</row>
    <row r="220" spans="1:46" ht="13.2" x14ac:dyDescent="0.25">
      <c r="A220" s="29"/>
      <c r="B220" s="29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</row>
    <row r="221" spans="1:46" ht="13.2" x14ac:dyDescent="0.25">
      <c r="A221" s="29"/>
      <c r="B221" s="29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</row>
    <row r="222" spans="1:46" ht="13.2" x14ac:dyDescent="0.25">
      <c r="A222" s="29"/>
      <c r="B222" s="29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</row>
    <row r="223" spans="1:46" ht="13.2" x14ac:dyDescent="0.25">
      <c r="A223" s="29"/>
      <c r="B223" s="29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</row>
    <row r="224" spans="1:46" ht="13.2" x14ac:dyDescent="0.25">
      <c r="A224" s="29"/>
      <c r="B224" s="29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</row>
    <row r="225" spans="1:46" ht="13.2" x14ac:dyDescent="0.25">
      <c r="A225" s="29"/>
      <c r="B225" s="29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</row>
    <row r="226" spans="1:46" ht="13.2" x14ac:dyDescent="0.25">
      <c r="A226" s="29"/>
      <c r="B226" s="29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</row>
    <row r="227" spans="1:46" ht="13.2" x14ac:dyDescent="0.25">
      <c r="A227" s="29"/>
      <c r="B227" s="29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</row>
    <row r="228" spans="1:46" ht="13.2" x14ac:dyDescent="0.25">
      <c r="A228" s="29"/>
      <c r="B228" s="29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</row>
    <row r="229" spans="1:46" ht="13.2" x14ac:dyDescent="0.25">
      <c r="A229" s="29"/>
      <c r="B229" s="29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</row>
    <row r="230" spans="1:46" ht="13.2" x14ac:dyDescent="0.25">
      <c r="A230" s="29"/>
      <c r="B230" s="29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</row>
    <row r="231" spans="1:46" ht="13.2" x14ac:dyDescent="0.25">
      <c r="A231" s="29"/>
      <c r="B231" s="29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</row>
    <row r="232" spans="1:46" ht="13.2" x14ac:dyDescent="0.25">
      <c r="A232" s="29"/>
      <c r="B232" s="29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</row>
    <row r="233" spans="1:46" ht="13.2" x14ac:dyDescent="0.25">
      <c r="A233" s="29"/>
      <c r="B233" s="29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</row>
    <row r="234" spans="1:46" ht="13.2" x14ac:dyDescent="0.25">
      <c r="A234" s="29"/>
      <c r="B234" s="29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</row>
    <row r="235" spans="1:46" ht="13.2" x14ac:dyDescent="0.25">
      <c r="A235" s="29"/>
      <c r="B235" s="29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</row>
    <row r="236" spans="1:46" ht="13.2" x14ac:dyDescent="0.25">
      <c r="A236" s="29"/>
      <c r="B236" s="29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</row>
    <row r="237" spans="1:46" ht="13.2" x14ac:dyDescent="0.25">
      <c r="A237" s="29"/>
      <c r="B237" s="29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</row>
    <row r="238" spans="1:46" ht="13.2" x14ac:dyDescent="0.25">
      <c r="A238" s="29"/>
      <c r="B238" s="29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</row>
    <row r="239" spans="1:46" ht="13.2" x14ac:dyDescent="0.25">
      <c r="A239" s="29"/>
      <c r="B239" s="29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</row>
    <row r="240" spans="1:46" ht="13.2" x14ac:dyDescent="0.25">
      <c r="A240" s="29"/>
      <c r="B240" s="29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</row>
    <row r="241" spans="1:46" ht="13.2" x14ac:dyDescent="0.25">
      <c r="A241" s="29"/>
      <c r="B241" s="29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</row>
    <row r="242" spans="1:46" ht="13.2" x14ac:dyDescent="0.25">
      <c r="A242" s="29"/>
      <c r="B242" s="29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</row>
    <row r="243" spans="1:46" ht="13.2" x14ac:dyDescent="0.25">
      <c r="A243" s="29"/>
      <c r="B243" s="29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</row>
    <row r="244" spans="1:46" ht="13.2" x14ac:dyDescent="0.25">
      <c r="A244" s="29"/>
      <c r="B244" s="29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</row>
    <row r="245" spans="1:46" ht="13.2" x14ac:dyDescent="0.25">
      <c r="A245" s="29"/>
      <c r="B245" s="29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</row>
    <row r="246" spans="1:46" ht="13.2" x14ac:dyDescent="0.25">
      <c r="A246" s="29"/>
      <c r="B246" s="29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</row>
    <row r="247" spans="1:46" ht="13.2" x14ac:dyDescent="0.25">
      <c r="A247" s="29"/>
      <c r="B247" s="29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</row>
    <row r="248" spans="1:46" ht="13.2" x14ac:dyDescent="0.25">
      <c r="A248" s="29"/>
      <c r="B248" s="29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</row>
    <row r="249" spans="1:46" ht="13.2" x14ac:dyDescent="0.25">
      <c r="A249" s="29"/>
      <c r="B249" s="29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</row>
    <row r="250" spans="1:46" ht="13.2" x14ac:dyDescent="0.25">
      <c r="A250" s="29"/>
      <c r="B250" s="29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</row>
    <row r="251" spans="1:46" ht="13.2" x14ac:dyDescent="0.25">
      <c r="A251" s="29"/>
      <c r="B251" s="29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</row>
    <row r="252" spans="1:46" ht="13.2" x14ac:dyDescent="0.25">
      <c r="A252" s="29"/>
      <c r="B252" s="29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</row>
    <row r="253" spans="1:46" ht="13.2" x14ac:dyDescent="0.25">
      <c r="A253" s="29"/>
      <c r="B253" s="29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</row>
    <row r="254" spans="1:46" ht="13.2" x14ac:dyDescent="0.25">
      <c r="A254" s="29"/>
      <c r="B254" s="29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</row>
    <row r="255" spans="1:46" ht="13.2" x14ac:dyDescent="0.25">
      <c r="A255" s="29"/>
      <c r="B255" s="29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</row>
    <row r="256" spans="1:46" ht="13.2" x14ac:dyDescent="0.25">
      <c r="A256" s="29"/>
      <c r="B256" s="29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</row>
    <row r="257" spans="1:46" ht="13.2" x14ac:dyDescent="0.25">
      <c r="A257" s="29"/>
      <c r="B257" s="29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</row>
    <row r="258" spans="1:46" ht="13.2" x14ac:dyDescent="0.25">
      <c r="A258" s="29"/>
      <c r="B258" s="29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</row>
    <row r="259" spans="1:46" ht="13.2" x14ac:dyDescent="0.25">
      <c r="A259" s="29"/>
      <c r="B259" s="29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</row>
    <row r="260" spans="1:46" ht="13.2" x14ac:dyDescent="0.25">
      <c r="A260" s="29"/>
      <c r="B260" s="29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</row>
    <row r="261" spans="1:46" ht="13.2" x14ac:dyDescent="0.25">
      <c r="A261" s="29"/>
      <c r="B261" s="29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</row>
    <row r="262" spans="1:46" ht="13.2" x14ac:dyDescent="0.25">
      <c r="A262" s="29"/>
      <c r="B262" s="29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</row>
    <row r="263" spans="1:46" ht="13.2" x14ac:dyDescent="0.25">
      <c r="A263" s="29"/>
      <c r="B263" s="29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</row>
    <row r="264" spans="1:46" ht="13.2" x14ac:dyDescent="0.25">
      <c r="A264" s="29"/>
      <c r="B264" s="29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</row>
    <row r="265" spans="1:46" ht="13.2" x14ac:dyDescent="0.25">
      <c r="A265" s="29"/>
      <c r="B265" s="29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</row>
    <row r="266" spans="1:46" ht="13.2" x14ac:dyDescent="0.25">
      <c r="A266" s="29"/>
      <c r="B266" s="29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</row>
    <row r="267" spans="1:46" ht="13.2" x14ac:dyDescent="0.25">
      <c r="A267" s="29"/>
      <c r="B267" s="29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</row>
    <row r="268" spans="1:46" ht="13.2" x14ac:dyDescent="0.25">
      <c r="A268" s="29"/>
      <c r="B268" s="29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</row>
    <row r="269" spans="1:46" ht="13.2" x14ac:dyDescent="0.25">
      <c r="A269" s="29"/>
      <c r="B269" s="29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</row>
    <row r="270" spans="1:46" ht="13.2" x14ac:dyDescent="0.25">
      <c r="A270" s="29"/>
      <c r="B270" s="29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</row>
    <row r="271" spans="1:46" ht="13.2" x14ac:dyDescent="0.25">
      <c r="A271" s="29"/>
      <c r="B271" s="29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</row>
    <row r="272" spans="1:46" ht="13.2" x14ac:dyDescent="0.25">
      <c r="A272" s="29"/>
      <c r="B272" s="29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</row>
    <row r="273" spans="1:46" ht="13.2" x14ac:dyDescent="0.25">
      <c r="A273" s="29"/>
      <c r="B273" s="29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</row>
    <row r="274" spans="1:46" ht="13.2" x14ac:dyDescent="0.25">
      <c r="A274" s="29"/>
      <c r="B274" s="29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</row>
    <row r="275" spans="1:46" ht="13.2" x14ac:dyDescent="0.25">
      <c r="A275" s="29"/>
      <c r="B275" s="29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</row>
    <row r="276" spans="1:46" ht="13.2" x14ac:dyDescent="0.25">
      <c r="A276" s="29"/>
      <c r="B276" s="29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</row>
    <row r="277" spans="1:46" ht="13.2" x14ac:dyDescent="0.25">
      <c r="A277" s="29"/>
      <c r="B277" s="29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</row>
    <row r="278" spans="1:46" ht="13.2" x14ac:dyDescent="0.25">
      <c r="A278" s="29"/>
      <c r="B278" s="29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</row>
    <row r="279" spans="1:46" ht="13.2" x14ac:dyDescent="0.25">
      <c r="A279" s="29"/>
      <c r="B279" s="29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</row>
    <row r="280" spans="1:46" ht="13.2" x14ac:dyDescent="0.25">
      <c r="A280" s="29"/>
      <c r="B280" s="29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</row>
    <row r="281" spans="1:46" ht="13.2" x14ac:dyDescent="0.25">
      <c r="A281" s="29"/>
      <c r="B281" s="29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</row>
    <row r="282" spans="1:46" ht="13.2" x14ac:dyDescent="0.25">
      <c r="A282" s="29"/>
      <c r="B282" s="29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</row>
    <row r="283" spans="1:46" ht="13.2" x14ac:dyDescent="0.25">
      <c r="A283" s="29"/>
      <c r="B283" s="29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</row>
    <row r="284" spans="1:46" ht="13.2" x14ac:dyDescent="0.25">
      <c r="A284" s="29"/>
      <c r="B284" s="29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</row>
    <row r="285" spans="1:46" ht="13.2" x14ac:dyDescent="0.25">
      <c r="A285" s="29"/>
      <c r="B285" s="29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</row>
    <row r="286" spans="1:46" ht="13.2" x14ac:dyDescent="0.25">
      <c r="A286" s="29"/>
      <c r="B286" s="29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</row>
    <row r="287" spans="1:46" ht="13.2" x14ac:dyDescent="0.25">
      <c r="A287" s="29"/>
      <c r="B287" s="29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</row>
    <row r="288" spans="1:46" ht="13.2" x14ac:dyDescent="0.25">
      <c r="A288" s="29"/>
      <c r="B288" s="29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</row>
    <row r="289" spans="1:46" ht="13.2" x14ac:dyDescent="0.25">
      <c r="A289" s="29"/>
      <c r="B289" s="29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</row>
    <row r="290" spans="1:46" ht="13.2" x14ac:dyDescent="0.25">
      <c r="A290" s="29"/>
      <c r="B290" s="29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</row>
    <row r="291" spans="1:46" ht="13.2" x14ac:dyDescent="0.25">
      <c r="A291" s="29"/>
      <c r="B291" s="29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</row>
    <row r="292" spans="1:46" ht="13.2" x14ac:dyDescent="0.25">
      <c r="A292" s="29"/>
      <c r="B292" s="29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</row>
    <row r="293" spans="1:46" ht="13.2" x14ac:dyDescent="0.25">
      <c r="A293" s="29"/>
      <c r="B293" s="29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</row>
    <row r="294" spans="1:46" ht="13.2" x14ac:dyDescent="0.25">
      <c r="A294" s="29"/>
      <c r="B294" s="29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</row>
    <row r="295" spans="1:46" ht="13.2" x14ac:dyDescent="0.25">
      <c r="A295" s="29"/>
      <c r="B295" s="29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</row>
    <row r="296" spans="1:46" ht="13.2" x14ac:dyDescent="0.25">
      <c r="A296" s="29"/>
      <c r="B296" s="29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</row>
    <row r="297" spans="1:46" ht="13.2" x14ac:dyDescent="0.25">
      <c r="A297" s="29"/>
      <c r="B297" s="29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</row>
    <row r="298" spans="1:46" ht="13.2" x14ac:dyDescent="0.25">
      <c r="A298" s="29"/>
      <c r="B298" s="29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</row>
    <row r="299" spans="1:46" ht="13.2" x14ac:dyDescent="0.25">
      <c r="A299" s="29"/>
      <c r="B299" s="29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</row>
    <row r="300" spans="1:46" ht="13.2" x14ac:dyDescent="0.25">
      <c r="A300" s="29"/>
      <c r="B300" s="29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</row>
    <row r="301" spans="1:46" ht="13.2" x14ac:dyDescent="0.25">
      <c r="A301" s="29"/>
      <c r="B301" s="29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</row>
    <row r="302" spans="1:46" ht="13.2" x14ac:dyDescent="0.25">
      <c r="A302" s="29"/>
      <c r="B302" s="29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</row>
    <row r="303" spans="1:46" ht="13.2" x14ac:dyDescent="0.25">
      <c r="A303" s="29"/>
      <c r="B303" s="29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</row>
    <row r="304" spans="1:46" ht="13.2" x14ac:dyDescent="0.25">
      <c r="A304" s="29"/>
      <c r="B304" s="29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</row>
    <row r="305" spans="1:46" ht="13.2" x14ac:dyDescent="0.25">
      <c r="A305" s="29"/>
      <c r="B305" s="29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</row>
    <row r="306" spans="1:46" ht="13.2" x14ac:dyDescent="0.25">
      <c r="A306" s="29"/>
      <c r="B306" s="29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</row>
    <row r="307" spans="1:46" ht="13.2" x14ac:dyDescent="0.25">
      <c r="A307" s="29"/>
      <c r="B307" s="29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</row>
    <row r="308" spans="1:46" ht="13.2" x14ac:dyDescent="0.25">
      <c r="A308" s="29"/>
      <c r="B308" s="29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</row>
    <row r="309" spans="1:46" ht="13.2" x14ac:dyDescent="0.25">
      <c r="A309" s="29"/>
      <c r="B309" s="29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</row>
    <row r="310" spans="1:46" ht="13.2" x14ac:dyDescent="0.25">
      <c r="A310" s="29"/>
      <c r="B310" s="29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</row>
    <row r="311" spans="1:46" ht="13.2" x14ac:dyDescent="0.25">
      <c r="A311" s="29"/>
      <c r="B311" s="29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</row>
    <row r="312" spans="1:46" ht="13.2" x14ac:dyDescent="0.25">
      <c r="A312" s="29"/>
      <c r="B312" s="29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</row>
    <row r="313" spans="1:46" ht="13.2" x14ac:dyDescent="0.25">
      <c r="A313" s="29"/>
      <c r="B313" s="29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</row>
    <row r="314" spans="1:46" ht="13.2" x14ac:dyDescent="0.25">
      <c r="A314" s="29"/>
      <c r="B314" s="29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</row>
    <row r="315" spans="1:46" ht="13.2" x14ac:dyDescent="0.25">
      <c r="A315" s="29"/>
      <c r="B315" s="29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</row>
    <row r="316" spans="1:46" ht="13.2" x14ac:dyDescent="0.25">
      <c r="A316" s="29"/>
      <c r="B316" s="29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</row>
    <row r="317" spans="1:46" ht="13.2" x14ac:dyDescent="0.25">
      <c r="A317" s="29"/>
      <c r="B317" s="29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</row>
    <row r="318" spans="1:46" ht="13.2" x14ac:dyDescent="0.25">
      <c r="A318" s="29"/>
      <c r="B318" s="29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</row>
    <row r="319" spans="1:46" ht="13.2" x14ac:dyDescent="0.25">
      <c r="A319" s="29"/>
      <c r="B319" s="29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</row>
    <row r="320" spans="1:46" ht="13.2" x14ac:dyDescent="0.25">
      <c r="A320" s="29"/>
      <c r="B320" s="29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</row>
    <row r="321" spans="1:46" ht="13.2" x14ac:dyDescent="0.25">
      <c r="A321" s="29"/>
      <c r="B321" s="29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</row>
    <row r="322" spans="1:46" ht="13.2" x14ac:dyDescent="0.25">
      <c r="A322" s="29"/>
      <c r="B322" s="29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</row>
    <row r="323" spans="1:46" ht="13.2" x14ac:dyDescent="0.25">
      <c r="A323" s="29"/>
      <c r="B323" s="29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</row>
    <row r="324" spans="1:46" ht="13.2" x14ac:dyDescent="0.25">
      <c r="A324" s="29"/>
      <c r="B324" s="29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</row>
    <row r="325" spans="1:46" ht="13.2" x14ac:dyDescent="0.25">
      <c r="A325" s="29"/>
      <c r="B325" s="29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</row>
    <row r="326" spans="1:46" ht="13.2" x14ac:dyDescent="0.25">
      <c r="A326" s="29"/>
      <c r="B326" s="29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</row>
    <row r="327" spans="1:46" ht="13.2" x14ac:dyDescent="0.25">
      <c r="A327" s="29"/>
      <c r="B327" s="29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</row>
    <row r="328" spans="1:46" ht="13.2" x14ac:dyDescent="0.25">
      <c r="A328" s="29"/>
      <c r="B328" s="29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</row>
    <row r="329" spans="1:46" ht="13.2" x14ac:dyDescent="0.25">
      <c r="A329" s="29"/>
      <c r="B329" s="29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</row>
    <row r="330" spans="1:46" ht="13.2" x14ac:dyDescent="0.25">
      <c r="A330" s="29"/>
      <c r="B330" s="29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</row>
    <row r="331" spans="1:46" ht="13.2" x14ac:dyDescent="0.25">
      <c r="A331" s="29"/>
      <c r="B331" s="29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</row>
    <row r="332" spans="1:46" ht="13.2" x14ac:dyDescent="0.25">
      <c r="A332" s="29"/>
      <c r="B332" s="29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</row>
    <row r="333" spans="1:46" ht="13.2" x14ac:dyDescent="0.25">
      <c r="A333" s="29"/>
      <c r="B333" s="29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</row>
    <row r="334" spans="1:46" ht="13.2" x14ac:dyDescent="0.25">
      <c r="A334" s="29"/>
      <c r="B334" s="29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</row>
    <row r="335" spans="1:46" ht="13.2" x14ac:dyDescent="0.25">
      <c r="A335" s="29"/>
      <c r="B335" s="29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</row>
    <row r="336" spans="1:46" ht="13.2" x14ac:dyDescent="0.25">
      <c r="A336" s="29"/>
      <c r="B336" s="29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</row>
    <row r="337" spans="1:46" ht="13.2" x14ac:dyDescent="0.25">
      <c r="A337" s="29"/>
      <c r="B337" s="29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</row>
    <row r="338" spans="1:46" ht="13.2" x14ac:dyDescent="0.25">
      <c r="A338" s="29"/>
      <c r="B338" s="29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</row>
    <row r="339" spans="1:46" ht="13.2" x14ac:dyDescent="0.25">
      <c r="A339" s="29"/>
      <c r="B339" s="29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</row>
    <row r="340" spans="1:46" ht="13.2" x14ac:dyDescent="0.25">
      <c r="A340" s="29"/>
      <c r="B340" s="29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</row>
    <row r="341" spans="1:46" ht="13.2" x14ac:dyDescent="0.25">
      <c r="A341" s="29"/>
      <c r="B341" s="29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</row>
    <row r="342" spans="1:46" ht="13.2" x14ac:dyDescent="0.25">
      <c r="A342" s="29"/>
      <c r="B342" s="29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</row>
    <row r="343" spans="1:46" ht="13.2" x14ac:dyDescent="0.25">
      <c r="A343" s="29"/>
      <c r="B343" s="29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</row>
    <row r="344" spans="1:46" ht="13.2" x14ac:dyDescent="0.25">
      <c r="A344" s="29"/>
      <c r="B344" s="29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</row>
    <row r="345" spans="1:46" ht="13.2" x14ac:dyDescent="0.25">
      <c r="A345" s="29"/>
      <c r="B345" s="29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</row>
    <row r="346" spans="1:46" ht="13.2" x14ac:dyDescent="0.25">
      <c r="A346" s="29"/>
      <c r="B346" s="29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</row>
    <row r="347" spans="1:46" ht="13.2" x14ac:dyDescent="0.25">
      <c r="A347" s="29"/>
      <c r="B347" s="29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</row>
    <row r="348" spans="1:46" ht="13.2" x14ac:dyDescent="0.25">
      <c r="A348" s="29"/>
      <c r="B348" s="29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</row>
    <row r="349" spans="1:46" ht="13.2" x14ac:dyDescent="0.25">
      <c r="A349" s="29"/>
      <c r="B349" s="29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</row>
    <row r="350" spans="1:46" ht="13.2" x14ac:dyDescent="0.25">
      <c r="A350" s="29"/>
      <c r="B350" s="29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</row>
    <row r="351" spans="1:46" ht="13.2" x14ac:dyDescent="0.25">
      <c r="A351" s="29"/>
      <c r="B351" s="29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</row>
    <row r="352" spans="1:46" ht="13.2" x14ac:dyDescent="0.25">
      <c r="A352" s="29"/>
      <c r="B352" s="29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</row>
    <row r="353" spans="1:46" ht="13.2" x14ac:dyDescent="0.25">
      <c r="A353" s="29"/>
      <c r="B353" s="29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</row>
    <row r="354" spans="1:46" ht="13.2" x14ac:dyDescent="0.25">
      <c r="A354" s="29"/>
      <c r="B354" s="29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</row>
    <row r="355" spans="1:46" ht="13.2" x14ac:dyDescent="0.25">
      <c r="A355" s="29"/>
      <c r="B355" s="29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</row>
    <row r="356" spans="1:46" ht="13.2" x14ac:dyDescent="0.25">
      <c r="A356" s="29"/>
      <c r="B356" s="29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</row>
    <row r="357" spans="1:46" ht="13.2" x14ac:dyDescent="0.25">
      <c r="A357" s="29"/>
      <c r="B357" s="29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</row>
    <row r="358" spans="1:46" ht="13.2" x14ac:dyDescent="0.25">
      <c r="A358" s="29"/>
      <c r="B358" s="29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</row>
    <row r="359" spans="1:46" ht="13.2" x14ac:dyDescent="0.25">
      <c r="A359" s="29"/>
      <c r="B359" s="29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</row>
    <row r="360" spans="1:46" ht="13.2" x14ac:dyDescent="0.25">
      <c r="A360" s="29"/>
      <c r="B360" s="29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</row>
    <row r="361" spans="1:46" ht="13.2" x14ac:dyDescent="0.25">
      <c r="A361" s="29"/>
      <c r="B361" s="29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</row>
    <row r="362" spans="1:46" ht="13.2" x14ac:dyDescent="0.25">
      <c r="A362" s="29"/>
      <c r="B362" s="29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</row>
    <row r="363" spans="1:46" ht="13.2" x14ac:dyDescent="0.25">
      <c r="A363" s="29"/>
      <c r="B363" s="29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</row>
    <row r="364" spans="1:46" ht="13.2" x14ac:dyDescent="0.25">
      <c r="A364" s="29"/>
      <c r="B364" s="29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</row>
    <row r="365" spans="1:46" ht="13.2" x14ac:dyDescent="0.25">
      <c r="A365" s="29"/>
      <c r="B365" s="29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</row>
    <row r="366" spans="1:46" ht="13.2" x14ac:dyDescent="0.25">
      <c r="A366" s="29"/>
      <c r="B366" s="29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</row>
    <row r="367" spans="1:46" ht="13.2" x14ac:dyDescent="0.25">
      <c r="A367" s="29"/>
      <c r="B367" s="29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</row>
    <row r="368" spans="1:46" ht="13.2" x14ac:dyDescent="0.25">
      <c r="A368" s="29"/>
      <c r="B368" s="29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</row>
    <row r="369" spans="1:46" ht="13.2" x14ac:dyDescent="0.25">
      <c r="A369" s="29"/>
      <c r="B369" s="29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</row>
    <row r="370" spans="1:46" ht="13.2" x14ac:dyDescent="0.25">
      <c r="A370" s="29"/>
      <c r="B370" s="29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</row>
    <row r="371" spans="1:46" ht="13.2" x14ac:dyDescent="0.25">
      <c r="A371" s="29"/>
      <c r="B371" s="29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</row>
    <row r="372" spans="1:46" ht="13.2" x14ac:dyDescent="0.25">
      <c r="A372" s="29"/>
      <c r="B372" s="29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</row>
    <row r="373" spans="1:46" ht="13.2" x14ac:dyDescent="0.25">
      <c r="A373" s="29"/>
      <c r="B373" s="29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</row>
    <row r="374" spans="1:46" ht="13.2" x14ac:dyDescent="0.25">
      <c r="A374" s="29"/>
      <c r="B374" s="29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</row>
    <row r="375" spans="1:46" ht="13.2" x14ac:dyDescent="0.25">
      <c r="A375" s="29"/>
      <c r="B375" s="29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</row>
    <row r="376" spans="1:46" ht="13.2" x14ac:dyDescent="0.25">
      <c r="A376" s="29"/>
      <c r="B376" s="29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</row>
    <row r="377" spans="1:46" ht="13.2" x14ac:dyDescent="0.25">
      <c r="A377" s="29"/>
      <c r="B377" s="29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</row>
    <row r="378" spans="1:46" ht="13.2" x14ac:dyDescent="0.25">
      <c r="A378" s="29"/>
      <c r="B378" s="29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</row>
    <row r="379" spans="1:46" ht="13.2" x14ac:dyDescent="0.25">
      <c r="A379" s="29"/>
      <c r="B379" s="29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</row>
    <row r="380" spans="1:46" ht="13.2" x14ac:dyDescent="0.25">
      <c r="A380" s="29"/>
      <c r="B380" s="29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</row>
    <row r="381" spans="1:46" ht="13.2" x14ac:dyDescent="0.25">
      <c r="A381" s="29"/>
      <c r="B381" s="29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</row>
    <row r="382" spans="1:46" ht="13.2" x14ac:dyDescent="0.25">
      <c r="A382" s="29"/>
      <c r="B382" s="29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</row>
    <row r="383" spans="1:46" ht="13.2" x14ac:dyDescent="0.25">
      <c r="A383" s="29"/>
      <c r="B383" s="29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</row>
    <row r="384" spans="1:46" ht="13.2" x14ac:dyDescent="0.25">
      <c r="A384" s="29"/>
      <c r="B384" s="29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</row>
    <row r="385" spans="1:46" ht="13.2" x14ac:dyDescent="0.25">
      <c r="A385" s="29"/>
      <c r="B385" s="29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</row>
    <row r="386" spans="1:46" ht="13.2" x14ac:dyDescent="0.25">
      <c r="A386" s="29"/>
      <c r="B386" s="29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</row>
    <row r="387" spans="1:46" ht="13.2" x14ac:dyDescent="0.25">
      <c r="A387" s="29"/>
      <c r="B387" s="29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</row>
    <row r="388" spans="1:46" ht="13.2" x14ac:dyDescent="0.25">
      <c r="A388" s="29"/>
      <c r="B388" s="29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</row>
    <row r="389" spans="1:46" ht="13.2" x14ac:dyDescent="0.25">
      <c r="A389" s="29"/>
      <c r="B389" s="29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</row>
    <row r="390" spans="1:46" ht="13.2" x14ac:dyDescent="0.25">
      <c r="A390" s="29"/>
      <c r="B390" s="29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</row>
    <row r="391" spans="1:46" ht="13.2" x14ac:dyDescent="0.25">
      <c r="A391" s="29"/>
      <c r="B391" s="29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</row>
    <row r="392" spans="1:46" ht="13.2" x14ac:dyDescent="0.25">
      <c r="A392" s="29"/>
      <c r="B392" s="29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</row>
    <row r="393" spans="1:46" ht="13.2" x14ac:dyDescent="0.25">
      <c r="A393" s="29"/>
      <c r="B393" s="29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</row>
    <row r="394" spans="1:46" ht="13.2" x14ac:dyDescent="0.25">
      <c r="A394" s="29"/>
      <c r="B394" s="29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</row>
    <row r="395" spans="1:46" ht="13.2" x14ac:dyDescent="0.25">
      <c r="A395" s="29"/>
      <c r="B395" s="29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</row>
    <row r="396" spans="1:46" ht="13.2" x14ac:dyDescent="0.25">
      <c r="A396" s="29"/>
      <c r="B396" s="29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</row>
    <row r="397" spans="1:46" ht="13.2" x14ac:dyDescent="0.25">
      <c r="A397" s="29"/>
      <c r="B397" s="29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</row>
    <row r="398" spans="1:46" ht="13.2" x14ac:dyDescent="0.25">
      <c r="A398" s="29"/>
      <c r="B398" s="29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</row>
    <row r="399" spans="1:46" ht="13.2" x14ac:dyDescent="0.25">
      <c r="A399" s="29"/>
      <c r="B399" s="29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</row>
    <row r="400" spans="1:46" ht="13.2" x14ac:dyDescent="0.25">
      <c r="A400" s="29"/>
      <c r="B400" s="29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</row>
    <row r="401" spans="1:46" ht="13.2" x14ac:dyDescent="0.25">
      <c r="A401" s="29"/>
      <c r="B401" s="29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</row>
    <row r="402" spans="1:46" ht="13.2" x14ac:dyDescent="0.25">
      <c r="A402" s="29"/>
      <c r="B402" s="29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</row>
    <row r="403" spans="1:46" ht="13.2" x14ac:dyDescent="0.25">
      <c r="A403" s="29"/>
      <c r="B403" s="29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</row>
    <row r="404" spans="1:46" ht="13.2" x14ac:dyDescent="0.25">
      <c r="A404" s="29"/>
      <c r="B404" s="29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</row>
    <row r="405" spans="1:46" ht="13.2" x14ac:dyDescent="0.25">
      <c r="A405" s="29"/>
      <c r="B405" s="29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</row>
    <row r="406" spans="1:46" ht="13.2" x14ac:dyDescent="0.25">
      <c r="A406" s="29"/>
      <c r="B406" s="29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</row>
    <row r="407" spans="1:46" ht="13.2" x14ac:dyDescent="0.25">
      <c r="A407" s="29"/>
      <c r="B407" s="29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</row>
    <row r="408" spans="1:46" ht="13.2" x14ac:dyDescent="0.25">
      <c r="A408" s="29"/>
      <c r="B408" s="29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</row>
    <row r="409" spans="1:46" ht="13.2" x14ac:dyDescent="0.25">
      <c r="A409" s="29"/>
      <c r="B409" s="29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</row>
    <row r="410" spans="1:46" ht="13.2" x14ac:dyDescent="0.25">
      <c r="A410" s="29"/>
      <c r="B410" s="29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</row>
    <row r="411" spans="1:46" ht="13.2" x14ac:dyDescent="0.25">
      <c r="A411" s="29"/>
      <c r="B411" s="29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</row>
    <row r="412" spans="1:46" ht="13.2" x14ac:dyDescent="0.25">
      <c r="A412" s="29"/>
      <c r="B412" s="29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</row>
    <row r="413" spans="1:46" ht="13.2" x14ac:dyDescent="0.25">
      <c r="A413" s="29"/>
      <c r="B413" s="29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</row>
    <row r="414" spans="1:46" ht="13.2" x14ac:dyDescent="0.25">
      <c r="A414" s="29"/>
      <c r="B414" s="29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</row>
    <row r="415" spans="1:46" ht="13.2" x14ac:dyDescent="0.25">
      <c r="A415" s="29"/>
      <c r="B415" s="29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</row>
    <row r="416" spans="1:46" ht="13.2" x14ac:dyDescent="0.25">
      <c r="A416" s="29"/>
      <c r="B416" s="29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</row>
    <row r="417" spans="1:46" ht="13.2" x14ac:dyDescent="0.25">
      <c r="A417" s="29"/>
      <c r="B417" s="29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</row>
    <row r="418" spans="1:46" ht="13.2" x14ac:dyDescent="0.25">
      <c r="A418" s="29"/>
      <c r="B418" s="29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</row>
    <row r="419" spans="1:46" ht="13.2" x14ac:dyDescent="0.25">
      <c r="A419" s="29"/>
      <c r="B419" s="29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</row>
    <row r="420" spans="1:46" ht="13.2" x14ac:dyDescent="0.25">
      <c r="A420" s="29"/>
      <c r="B420" s="29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</row>
    <row r="421" spans="1:46" ht="13.2" x14ac:dyDescent="0.25">
      <c r="A421" s="29"/>
      <c r="B421" s="29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</row>
    <row r="422" spans="1:46" ht="13.2" x14ac:dyDescent="0.25">
      <c r="A422" s="29"/>
      <c r="B422" s="29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</row>
    <row r="423" spans="1:46" ht="13.2" x14ac:dyDescent="0.25">
      <c r="A423" s="29"/>
      <c r="B423" s="29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</row>
    <row r="424" spans="1:46" ht="13.2" x14ac:dyDescent="0.25">
      <c r="A424" s="29"/>
      <c r="B424" s="29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</row>
    <row r="425" spans="1:46" ht="13.2" x14ac:dyDescent="0.25">
      <c r="A425" s="29"/>
      <c r="B425" s="29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</row>
    <row r="426" spans="1:46" ht="13.2" x14ac:dyDescent="0.25">
      <c r="A426" s="29"/>
      <c r="B426" s="29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</row>
    <row r="427" spans="1:46" ht="13.2" x14ac:dyDescent="0.25">
      <c r="A427" s="29"/>
      <c r="B427" s="29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</row>
    <row r="428" spans="1:46" ht="13.2" x14ac:dyDescent="0.25">
      <c r="A428" s="29"/>
      <c r="B428" s="29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</row>
    <row r="429" spans="1:46" ht="13.2" x14ac:dyDescent="0.25">
      <c r="A429" s="29"/>
      <c r="B429" s="29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</row>
    <row r="430" spans="1:46" ht="13.2" x14ac:dyDescent="0.25">
      <c r="A430" s="29"/>
      <c r="B430" s="29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</row>
    <row r="431" spans="1:46" ht="13.2" x14ac:dyDescent="0.25">
      <c r="A431" s="29"/>
      <c r="B431" s="29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</row>
    <row r="432" spans="1:46" ht="13.2" x14ac:dyDescent="0.25">
      <c r="A432" s="29"/>
      <c r="B432" s="29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</row>
    <row r="433" spans="1:46" ht="13.2" x14ac:dyDescent="0.25">
      <c r="A433" s="29"/>
      <c r="B433" s="29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</row>
    <row r="434" spans="1:46" ht="13.2" x14ac:dyDescent="0.25">
      <c r="A434" s="29"/>
      <c r="B434" s="29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</row>
    <row r="435" spans="1:46" ht="13.2" x14ac:dyDescent="0.25">
      <c r="A435" s="29"/>
      <c r="B435" s="29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</row>
    <row r="436" spans="1:46" ht="13.2" x14ac:dyDescent="0.25">
      <c r="A436" s="29"/>
      <c r="B436" s="29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</row>
    <row r="437" spans="1:46" ht="13.2" x14ac:dyDescent="0.25">
      <c r="A437" s="29"/>
      <c r="B437" s="29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</row>
    <row r="438" spans="1:46" ht="13.2" x14ac:dyDescent="0.25">
      <c r="A438" s="29"/>
      <c r="B438" s="29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</row>
    <row r="439" spans="1:46" ht="13.2" x14ac:dyDescent="0.25">
      <c r="A439" s="29"/>
      <c r="B439" s="29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</row>
    <row r="440" spans="1:46" ht="13.2" x14ac:dyDescent="0.25">
      <c r="A440" s="29"/>
      <c r="B440" s="29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</row>
    <row r="441" spans="1:46" ht="13.2" x14ac:dyDescent="0.25">
      <c r="A441" s="29"/>
      <c r="B441" s="29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</row>
    <row r="442" spans="1:46" ht="13.2" x14ac:dyDescent="0.25">
      <c r="A442" s="29"/>
      <c r="B442" s="29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</row>
    <row r="443" spans="1:46" ht="13.2" x14ac:dyDescent="0.25">
      <c r="A443" s="29"/>
      <c r="B443" s="29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</row>
    <row r="444" spans="1:46" ht="13.2" x14ac:dyDescent="0.25">
      <c r="A444" s="29"/>
      <c r="B444" s="29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</row>
    <row r="445" spans="1:46" ht="13.2" x14ac:dyDescent="0.25">
      <c r="A445" s="29"/>
      <c r="B445" s="29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</row>
    <row r="446" spans="1:46" ht="13.2" x14ac:dyDescent="0.25">
      <c r="A446" s="29"/>
      <c r="B446" s="29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</row>
    <row r="447" spans="1:46" ht="13.2" x14ac:dyDescent="0.25">
      <c r="A447" s="29"/>
      <c r="B447" s="29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</row>
    <row r="448" spans="1:46" ht="13.2" x14ac:dyDescent="0.25">
      <c r="A448" s="29"/>
      <c r="B448" s="29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</row>
    <row r="449" spans="1:46" ht="13.2" x14ac:dyDescent="0.25">
      <c r="A449" s="29"/>
      <c r="B449" s="29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</row>
    <row r="450" spans="1:46" ht="13.2" x14ac:dyDescent="0.25">
      <c r="A450" s="29"/>
      <c r="B450" s="29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</row>
    <row r="451" spans="1:46" ht="13.2" x14ac:dyDescent="0.25">
      <c r="A451" s="29"/>
      <c r="B451" s="29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</row>
    <row r="452" spans="1:46" ht="13.2" x14ac:dyDescent="0.25">
      <c r="A452" s="29"/>
      <c r="B452" s="29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</row>
    <row r="453" spans="1:46" ht="13.2" x14ac:dyDescent="0.25">
      <c r="A453" s="29"/>
      <c r="B453" s="29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</row>
    <row r="454" spans="1:46" ht="13.2" x14ac:dyDescent="0.25">
      <c r="A454" s="29"/>
      <c r="B454" s="29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</row>
    <row r="455" spans="1:46" ht="13.2" x14ac:dyDescent="0.25">
      <c r="A455" s="29"/>
      <c r="B455" s="29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</row>
    <row r="456" spans="1:46" ht="13.2" x14ac:dyDescent="0.25">
      <c r="A456" s="29"/>
      <c r="B456" s="29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</row>
    <row r="457" spans="1:46" ht="13.2" x14ac:dyDescent="0.25">
      <c r="A457" s="29"/>
      <c r="B457" s="29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</row>
    <row r="458" spans="1:46" ht="13.2" x14ac:dyDescent="0.25">
      <c r="A458" s="29"/>
      <c r="B458" s="29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</row>
    <row r="459" spans="1:46" ht="13.2" x14ac:dyDescent="0.25">
      <c r="A459" s="29"/>
      <c r="B459" s="29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</row>
    <row r="460" spans="1:46" ht="13.2" x14ac:dyDescent="0.25">
      <c r="A460" s="29"/>
      <c r="B460" s="29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</row>
    <row r="461" spans="1:46" ht="13.2" x14ac:dyDescent="0.25">
      <c r="A461" s="29"/>
      <c r="B461" s="29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</row>
    <row r="462" spans="1:46" ht="13.2" x14ac:dyDescent="0.25">
      <c r="A462" s="29"/>
      <c r="B462" s="29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</row>
    <row r="463" spans="1:46" ht="13.2" x14ac:dyDescent="0.25">
      <c r="A463" s="29"/>
      <c r="B463" s="29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</row>
    <row r="464" spans="1:46" ht="13.2" x14ac:dyDescent="0.25">
      <c r="A464" s="29"/>
      <c r="B464" s="29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</row>
    <row r="465" spans="1:46" ht="13.2" x14ac:dyDescent="0.25">
      <c r="A465" s="29"/>
      <c r="B465" s="29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</row>
    <row r="466" spans="1:46" ht="13.2" x14ac:dyDescent="0.25">
      <c r="A466" s="29"/>
      <c r="B466" s="29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</row>
    <row r="467" spans="1:46" ht="13.2" x14ac:dyDescent="0.25">
      <c r="A467" s="29"/>
      <c r="B467" s="29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</row>
    <row r="468" spans="1:46" ht="13.2" x14ac:dyDescent="0.25">
      <c r="A468" s="29"/>
      <c r="B468" s="29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</row>
    <row r="469" spans="1:46" ht="13.2" x14ac:dyDescent="0.25">
      <c r="A469" s="29"/>
      <c r="B469" s="29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</row>
    <row r="470" spans="1:46" ht="13.2" x14ac:dyDescent="0.25">
      <c r="A470" s="29"/>
      <c r="B470" s="29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</row>
    <row r="471" spans="1:46" ht="13.2" x14ac:dyDescent="0.25">
      <c r="A471" s="29"/>
      <c r="B471" s="29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</row>
    <row r="472" spans="1:46" ht="13.2" x14ac:dyDescent="0.25">
      <c r="A472" s="29"/>
      <c r="B472" s="29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</row>
    <row r="473" spans="1:46" ht="13.2" x14ac:dyDescent="0.25">
      <c r="A473" s="29"/>
      <c r="B473" s="29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</row>
    <row r="474" spans="1:46" ht="13.2" x14ac:dyDescent="0.25">
      <c r="A474" s="29"/>
      <c r="B474" s="29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</row>
    <row r="475" spans="1:46" ht="13.2" x14ac:dyDescent="0.25">
      <c r="A475" s="29"/>
      <c r="B475" s="29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</row>
    <row r="476" spans="1:46" ht="13.2" x14ac:dyDescent="0.25">
      <c r="A476" s="29"/>
      <c r="B476" s="29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</row>
    <row r="477" spans="1:46" ht="13.2" x14ac:dyDescent="0.25">
      <c r="A477" s="29"/>
      <c r="B477" s="29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</row>
    <row r="478" spans="1:46" ht="13.2" x14ac:dyDescent="0.25">
      <c r="A478" s="29"/>
      <c r="B478" s="29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</row>
    <row r="479" spans="1:46" ht="13.2" x14ac:dyDescent="0.25">
      <c r="A479" s="29"/>
      <c r="B479" s="29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</row>
    <row r="480" spans="1:46" ht="13.2" x14ac:dyDescent="0.25">
      <c r="A480" s="29"/>
      <c r="B480" s="29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</row>
    <row r="481" spans="1:46" ht="13.2" x14ac:dyDescent="0.25">
      <c r="A481" s="29"/>
      <c r="B481" s="29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</row>
    <row r="482" spans="1:46" ht="13.2" x14ac:dyDescent="0.25">
      <c r="A482" s="29"/>
      <c r="B482" s="29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</row>
    <row r="483" spans="1:46" ht="13.2" x14ac:dyDescent="0.25">
      <c r="A483" s="29"/>
      <c r="B483" s="29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</row>
    <row r="484" spans="1:46" ht="13.2" x14ac:dyDescent="0.25">
      <c r="A484" s="29"/>
      <c r="B484" s="29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</row>
    <row r="485" spans="1:46" ht="13.2" x14ac:dyDescent="0.25">
      <c r="A485" s="29"/>
      <c r="B485" s="29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</row>
    <row r="486" spans="1:46" ht="13.2" x14ac:dyDescent="0.25">
      <c r="A486" s="29"/>
      <c r="B486" s="29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</row>
    <row r="487" spans="1:46" ht="13.2" x14ac:dyDescent="0.25">
      <c r="A487" s="29"/>
      <c r="B487" s="29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</row>
    <row r="488" spans="1:46" ht="13.2" x14ac:dyDescent="0.25">
      <c r="A488" s="29"/>
      <c r="B488" s="29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</row>
    <row r="489" spans="1:46" ht="13.2" x14ac:dyDescent="0.25">
      <c r="A489" s="29"/>
      <c r="B489" s="29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</row>
    <row r="490" spans="1:46" ht="13.2" x14ac:dyDescent="0.25">
      <c r="A490" s="29"/>
      <c r="B490" s="29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</row>
    <row r="491" spans="1:46" ht="13.2" x14ac:dyDescent="0.25">
      <c r="A491" s="29"/>
      <c r="B491" s="29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</row>
    <row r="492" spans="1:46" ht="13.2" x14ac:dyDescent="0.25">
      <c r="A492" s="29"/>
      <c r="B492" s="29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</row>
    <row r="493" spans="1:46" ht="13.2" x14ac:dyDescent="0.25">
      <c r="A493" s="29"/>
      <c r="B493" s="29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</row>
    <row r="494" spans="1:46" ht="13.2" x14ac:dyDescent="0.25">
      <c r="A494" s="29"/>
      <c r="B494" s="29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</row>
    <row r="495" spans="1:46" ht="13.2" x14ac:dyDescent="0.25">
      <c r="A495" s="29"/>
      <c r="B495" s="29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</row>
    <row r="496" spans="1:46" ht="13.2" x14ac:dyDescent="0.25">
      <c r="A496" s="29"/>
      <c r="B496" s="29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</row>
    <row r="497" spans="1:46" ht="13.2" x14ac:dyDescent="0.25">
      <c r="A497" s="29"/>
      <c r="B497" s="29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</row>
    <row r="498" spans="1:46" ht="13.2" x14ac:dyDescent="0.25">
      <c r="A498" s="29"/>
      <c r="B498" s="29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</row>
    <row r="499" spans="1:46" ht="13.2" x14ac:dyDescent="0.25">
      <c r="A499" s="29"/>
      <c r="B499" s="29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</row>
    <row r="500" spans="1:46" ht="13.2" x14ac:dyDescent="0.25">
      <c r="A500" s="29"/>
      <c r="B500" s="29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</row>
    <row r="501" spans="1:46" ht="13.2" x14ac:dyDescent="0.25">
      <c r="A501" s="29"/>
      <c r="B501" s="29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</row>
    <row r="502" spans="1:46" ht="13.2" x14ac:dyDescent="0.25">
      <c r="A502" s="29"/>
      <c r="B502" s="29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</row>
    <row r="503" spans="1:46" ht="13.2" x14ac:dyDescent="0.25">
      <c r="A503" s="29"/>
      <c r="B503" s="29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</row>
    <row r="504" spans="1:46" ht="13.2" x14ac:dyDescent="0.25">
      <c r="A504" s="29"/>
      <c r="B504" s="29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</row>
    <row r="505" spans="1:46" ht="13.2" x14ac:dyDescent="0.25">
      <c r="A505" s="29"/>
      <c r="B505" s="29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</row>
    <row r="506" spans="1:46" ht="13.2" x14ac:dyDescent="0.25">
      <c r="A506" s="29"/>
      <c r="B506" s="29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</row>
    <row r="507" spans="1:46" ht="13.2" x14ac:dyDescent="0.25">
      <c r="A507" s="29"/>
      <c r="B507" s="29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</row>
    <row r="508" spans="1:46" ht="13.2" x14ac:dyDescent="0.25">
      <c r="A508" s="29"/>
      <c r="B508" s="29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</row>
    <row r="509" spans="1:46" ht="13.2" x14ac:dyDescent="0.25">
      <c r="A509" s="29"/>
      <c r="B509" s="29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</row>
    <row r="510" spans="1:46" ht="13.2" x14ac:dyDescent="0.25">
      <c r="A510" s="29"/>
      <c r="B510" s="29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</row>
    <row r="511" spans="1:46" ht="13.2" x14ac:dyDescent="0.25">
      <c r="A511" s="29"/>
      <c r="B511" s="29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</row>
    <row r="512" spans="1:46" ht="13.2" x14ac:dyDescent="0.25">
      <c r="A512" s="29"/>
      <c r="B512" s="29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</row>
    <row r="513" spans="1:46" ht="13.2" x14ac:dyDescent="0.25">
      <c r="A513" s="29"/>
      <c r="B513" s="29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</row>
    <row r="514" spans="1:46" ht="13.2" x14ac:dyDescent="0.25">
      <c r="A514" s="29"/>
      <c r="B514" s="29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</row>
    <row r="515" spans="1:46" ht="13.2" x14ac:dyDescent="0.25">
      <c r="A515" s="29"/>
      <c r="B515" s="29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</row>
    <row r="516" spans="1:46" ht="13.2" x14ac:dyDescent="0.25">
      <c r="A516" s="29"/>
      <c r="B516" s="29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</row>
    <row r="517" spans="1:46" ht="13.2" x14ac:dyDescent="0.25">
      <c r="A517" s="29"/>
      <c r="B517" s="29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</row>
    <row r="518" spans="1:46" ht="13.2" x14ac:dyDescent="0.25">
      <c r="A518" s="29"/>
      <c r="B518" s="29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</row>
    <row r="519" spans="1:46" ht="13.2" x14ac:dyDescent="0.25">
      <c r="A519" s="29"/>
      <c r="B519" s="29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</row>
    <row r="520" spans="1:46" ht="13.2" x14ac:dyDescent="0.25">
      <c r="A520" s="29"/>
      <c r="B520" s="29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</row>
    <row r="521" spans="1:46" ht="13.2" x14ac:dyDescent="0.25">
      <c r="A521" s="29"/>
      <c r="B521" s="29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</row>
    <row r="522" spans="1:46" ht="13.2" x14ac:dyDescent="0.25">
      <c r="A522" s="29"/>
      <c r="B522" s="29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</row>
    <row r="523" spans="1:46" ht="13.2" x14ac:dyDescent="0.25">
      <c r="A523" s="29"/>
      <c r="B523" s="29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</row>
    <row r="524" spans="1:46" ht="13.2" x14ac:dyDescent="0.25">
      <c r="A524" s="29"/>
      <c r="B524" s="29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</row>
    <row r="525" spans="1:46" ht="13.2" x14ac:dyDescent="0.25">
      <c r="A525" s="29"/>
      <c r="B525" s="29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</row>
    <row r="526" spans="1:46" ht="13.2" x14ac:dyDescent="0.25">
      <c r="A526" s="29"/>
      <c r="B526" s="29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</row>
    <row r="527" spans="1:46" ht="13.2" x14ac:dyDescent="0.25">
      <c r="A527" s="29"/>
      <c r="B527" s="29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</row>
    <row r="528" spans="1:46" ht="13.2" x14ac:dyDescent="0.25">
      <c r="A528" s="29"/>
      <c r="B528" s="29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</row>
    <row r="529" spans="1:46" ht="13.2" x14ac:dyDescent="0.25">
      <c r="A529" s="29"/>
      <c r="B529" s="29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</row>
    <row r="530" spans="1:46" ht="13.2" x14ac:dyDescent="0.25">
      <c r="A530" s="29"/>
      <c r="B530" s="29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</row>
    <row r="531" spans="1:46" ht="13.2" x14ac:dyDescent="0.25">
      <c r="A531" s="29"/>
      <c r="B531" s="29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</row>
    <row r="532" spans="1:46" ht="13.2" x14ac:dyDescent="0.25">
      <c r="A532" s="29"/>
      <c r="B532" s="29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</row>
    <row r="533" spans="1:46" ht="13.2" x14ac:dyDescent="0.25">
      <c r="A533" s="29"/>
      <c r="B533" s="29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</row>
    <row r="534" spans="1:46" ht="13.2" x14ac:dyDescent="0.25">
      <c r="A534" s="29"/>
      <c r="B534" s="29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</row>
    <row r="535" spans="1:46" ht="13.2" x14ac:dyDescent="0.25">
      <c r="A535" s="29"/>
      <c r="B535" s="29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</row>
    <row r="536" spans="1:46" ht="13.2" x14ac:dyDescent="0.25">
      <c r="A536" s="29"/>
      <c r="B536" s="29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</row>
    <row r="537" spans="1:46" ht="13.2" x14ac:dyDescent="0.25">
      <c r="A537" s="29"/>
      <c r="B537" s="29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</row>
    <row r="538" spans="1:46" ht="13.2" x14ac:dyDescent="0.25">
      <c r="A538" s="29"/>
      <c r="B538" s="29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</row>
    <row r="539" spans="1:46" ht="13.2" x14ac:dyDescent="0.25">
      <c r="A539" s="29"/>
      <c r="B539" s="29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</row>
    <row r="540" spans="1:46" ht="13.2" x14ac:dyDescent="0.25">
      <c r="A540" s="29"/>
      <c r="B540" s="29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</row>
    <row r="541" spans="1:46" ht="13.2" x14ac:dyDescent="0.25">
      <c r="A541" s="29"/>
      <c r="B541" s="29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</row>
    <row r="542" spans="1:46" ht="13.2" x14ac:dyDescent="0.25">
      <c r="A542" s="29"/>
      <c r="B542" s="29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</row>
    <row r="543" spans="1:46" ht="13.2" x14ac:dyDescent="0.25">
      <c r="A543" s="29"/>
      <c r="B543" s="29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</row>
    <row r="544" spans="1:46" ht="13.2" x14ac:dyDescent="0.25">
      <c r="A544" s="29"/>
      <c r="B544" s="29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</row>
    <row r="545" spans="1:46" ht="13.2" x14ac:dyDescent="0.25">
      <c r="A545" s="29"/>
      <c r="B545" s="29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</row>
    <row r="546" spans="1:46" ht="13.2" x14ac:dyDescent="0.25">
      <c r="A546" s="29"/>
      <c r="B546" s="29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</row>
    <row r="547" spans="1:46" ht="13.2" x14ac:dyDescent="0.25">
      <c r="A547" s="29"/>
      <c r="B547" s="29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</row>
    <row r="548" spans="1:46" ht="13.2" x14ac:dyDescent="0.25">
      <c r="A548" s="29"/>
      <c r="B548" s="29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</row>
    <row r="549" spans="1:46" ht="13.2" x14ac:dyDescent="0.25">
      <c r="A549" s="29"/>
      <c r="B549" s="29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</row>
    <row r="550" spans="1:46" ht="13.2" x14ac:dyDescent="0.25">
      <c r="A550" s="29"/>
      <c r="B550" s="29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</row>
    <row r="551" spans="1:46" ht="13.2" x14ac:dyDescent="0.25">
      <c r="A551" s="29"/>
      <c r="B551" s="29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</row>
    <row r="552" spans="1:46" ht="13.2" x14ac:dyDescent="0.25">
      <c r="A552" s="29"/>
      <c r="B552" s="29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</row>
    <row r="553" spans="1:46" ht="13.2" x14ac:dyDescent="0.25">
      <c r="A553" s="29"/>
      <c r="B553" s="29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</row>
    <row r="554" spans="1:46" ht="13.2" x14ac:dyDescent="0.25">
      <c r="A554" s="29"/>
      <c r="B554" s="29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</row>
    <row r="555" spans="1:46" ht="13.2" x14ac:dyDescent="0.25">
      <c r="A555" s="29"/>
      <c r="B555" s="29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</row>
    <row r="556" spans="1:46" ht="13.2" x14ac:dyDescent="0.25">
      <c r="A556" s="29"/>
      <c r="B556" s="29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</row>
    <row r="557" spans="1:46" ht="13.2" x14ac:dyDescent="0.25">
      <c r="A557" s="29"/>
      <c r="B557" s="29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</row>
    <row r="558" spans="1:46" ht="13.2" x14ac:dyDescent="0.25">
      <c r="A558" s="29"/>
      <c r="B558" s="29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</row>
    <row r="559" spans="1:46" ht="13.2" x14ac:dyDescent="0.25">
      <c r="A559" s="29"/>
      <c r="B559" s="29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</row>
    <row r="560" spans="1:46" ht="13.2" x14ac:dyDescent="0.25">
      <c r="A560" s="29"/>
      <c r="B560" s="29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</row>
    <row r="561" spans="1:46" ht="13.2" x14ac:dyDescent="0.25">
      <c r="A561" s="29"/>
      <c r="B561" s="29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</row>
    <row r="562" spans="1:46" ht="13.2" x14ac:dyDescent="0.25">
      <c r="A562" s="29"/>
      <c r="B562" s="29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</row>
    <row r="563" spans="1:46" ht="13.2" x14ac:dyDescent="0.25">
      <c r="A563" s="29"/>
      <c r="B563" s="29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</row>
    <row r="564" spans="1:46" ht="13.2" x14ac:dyDescent="0.25">
      <c r="A564" s="29"/>
      <c r="B564" s="29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</row>
    <row r="565" spans="1:46" ht="13.2" x14ac:dyDescent="0.25">
      <c r="A565" s="29"/>
      <c r="B565" s="29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</row>
    <row r="566" spans="1:46" ht="13.2" x14ac:dyDescent="0.25">
      <c r="A566" s="29"/>
      <c r="B566" s="29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</row>
    <row r="567" spans="1:46" ht="13.2" x14ac:dyDescent="0.25">
      <c r="A567" s="29"/>
      <c r="B567" s="29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</row>
    <row r="568" spans="1:46" ht="13.2" x14ac:dyDescent="0.25">
      <c r="A568" s="29"/>
      <c r="B568" s="29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</row>
    <row r="569" spans="1:46" ht="13.2" x14ac:dyDescent="0.25">
      <c r="A569" s="29"/>
      <c r="B569" s="29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</row>
    <row r="570" spans="1:46" ht="13.2" x14ac:dyDescent="0.25">
      <c r="A570" s="29"/>
      <c r="B570" s="29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</row>
    <row r="571" spans="1:46" ht="13.2" x14ac:dyDescent="0.25">
      <c r="A571" s="29"/>
      <c r="B571" s="29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</row>
    <row r="572" spans="1:46" ht="13.2" x14ac:dyDescent="0.25">
      <c r="A572" s="29"/>
      <c r="B572" s="29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</row>
    <row r="573" spans="1:46" ht="13.2" x14ac:dyDescent="0.25">
      <c r="A573" s="29"/>
      <c r="B573" s="29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</row>
    <row r="574" spans="1:46" ht="13.2" x14ac:dyDescent="0.25">
      <c r="A574" s="29"/>
      <c r="B574" s="29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</row>
    <row r="575" spans="1:46" ht="13.2" x14ac:dyDescent="0.25">
      <c r="A575" s="29"/>
      <c r="B575" s="29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</row>
    <row r="576" spans="1:46" ht="13.2" x14ac:dyDescent="0.25">
      <c r="A576" s="29"/>
      <c r="B576" s="29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</row>
    <row r="577" spans="1:46" ht="13.2" x14ac:dyDescent="0.25">
      <c r="A577" s="29"/>
      <c r="B577" s="29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</row>
    <row r="578" spans="1:46" ht="13.2" x14ac:dyDescent="0.25">
      <c r="A578" s="29"/>
      <c r="B578" s="29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</row>
    <row r="579" spans="1:46" ht="13.2" x14ac:dyDescent="0.25">
      <c r="A579" s="29"/>
      <c r="B579" s="29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</row>
    <row r="580" spans="1:46" ht="13.2" x14ac:dyDescent="0.25">
      <c r="A580" s="29"/>
      <c r="B580" s="29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</row>
    <row r="581" spans="1:46" ht="13.2" x14ac:dyDescent="0.25">
      <c r="A581" s="29"/>
      <c r="B581" s="29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</row>
    <row r="582" spans="1:46" ht="13.2" x14ac:dyDescent="0.25">
      <c r="A582" s="29"/>
      <c r="B582" s="29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</row>
    <row r="583" spans="1:46" ht="13.2" x14ac:dyDescent="0.25">
      <c r="A583" s="29"/>
      <c r="B583" s="29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</row>
    <row r="584" spans="1:46" ht="13.2" x14ac:dyDescent="0.25">
      <c r="A584" s="29"/>
      <c r="B584" s="29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</row>
    <row r="585" spans="1:46" ht="13.2" x14ac:dyDescent="0.25">
      <c r="A585" s="29"/>
      <c r="B585" s="29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</row>
    <row r="586" spans="1:46" ht="13.2" x14ac:dyDescent="0.25">
      <c r="A586" s="29"/>
      <c r="B586" s="29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</row>
    <row r="587" spans="1:46" ht="13.2" x14ac:dyDescent="0.25">
      <c r="A587" s="29"/>
      <c r="B587" s="29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</row>
    <row r="588" spans="1:46" ht="13.2" x14ac:dyDescent="0.25">
      <c r="A588" s="29"/>
      <c r="B588" s="29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</row>
    <row r="589" spans="1:46" ht="13.2" x14ac:dyDescent="0.25">
      <c r="A589" s="29"/>
      <c r="B589" s="29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</row>
    <row r="590" spans="1:46" ht="13.2" x14ac:dyDescent="0.25">
      <c r="A590" s="29"/>
      <c r="B590" s="29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</row>
    <row r="591" spans="1:46" ht="13.2" x14ac:dyDescent="0.25">
      <c r="A591" s="29"/>
      <c r="B591" s="29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</row>
    <row r="592" spans="1:46" ht="13.2" x14ac:dyDescent="0.25">
      <c r="A592" s="29"/>
      <c r="B592" s="29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</row>
    <row r="593" spans="1:46" ht="13.2" x14ac:dyDescent="0.25">
      <c r="A593" s="29"/>
      <c r="B593" s="29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</row>
    <row r="594" spans="1:46" ht="13.2" x14ac:dyDescent="0.25">
      <c r="A594" s="29"/>
      <c r="B594" s="29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</row>
    <row r="595" spans="1:46" ht="13.2" x14ac:dyDescent="0.25">
      <c r="A595" s="29"/>
      <c r="B595" s="29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</row>
    <row r="596" spans="1:46" ht="13.2" x14ac:dyDescent="0.25">
      <c r="A596" s="29"/>
      <c r="B596" s="29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</row>
    <row r="597" spans="1:46" ht="13.2" x14ac:dyDescent="0.25">
      <c r="A597" s="29"/>
      <c r="B597" s="29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</row>
    <row r="598" spans="1:46" ht="13.2" x14ac:dyDescent="0.25">
      <c r="A598" s="29"/>
      <c r="B598" s="29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</row>
    <row r="599" spans="1:46" ht="13.2" x14ac:dyDescent="0.25">
      <c r="A599" s="29"/>
      <c r="B599" s="29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</row>
    <row r="600" spans="1:46" ht="13.2" x14ac:dyDescent="0.25">
      <c r="A600" s="29"/>
      <c r="B600" s="29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</row>
    <row r="601" spans="1:46" ht="13.2" x14ac:dyDescent="0.25">
      <c r="A601" s="29"/>
      <c r="B601" s="29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</row>
    <row r="602" spans="1:46" ht="13.2" x14ac:dyDescent="0.25">
      <c r="A602" s="29"/>
      <c r="B602" s="29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</row>
    <row r="603" spans="1:46" ht="13.2" x14ac:dyDescent="0.25">
      <c r="A603" s="29"/>
      <c r="B603" s="29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</row>
    <row r="604" spans="1:46" ht="13.2" x14ac:dyDescent="0.25">
      <c r="A604" s="29"/>
      <c r="B604" s="29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</row>
    <row r="605" spans="1:46" ht="13.2" x14ac:dyDescent="0.25">
      <c r="A605" s="29"/>
      <c r="B605" s="29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</row>
    <row r="606" spans="1:46" ht="13.2" x14ac:dyDescent="0.25">
      <c r="A606" s="29"/>
      <c r="B606" s="29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</row>
    <row r="607" spans="1:46" ht="13.2" x14ac:dyDescent="0.25">
      <c r="A607" s="29"/>
      <c r="B607" s="29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</row>
    <row r="608" spans="1:46" ht="13.2" x14ac:dyDescent="0.25">
      <c r="A608" s="29"/>
      <c r="B608" s="29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</row>
    <row r="609" spans="1:46" ht="13.2" x14ac:dyDescent="0.25">
      <c r="A609" s="29"/>
      <c r="B609" s="29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</row>
    <row r="610" spans="1:46" ht="13.2" x14ac:dyDescent="0.25">
      <c r="A610" s="29"/>
      <c r="B610" s="29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</row>
    <row r="611" spans="1:46" ht="13.2" x14ac:dyDescent="0.25">
      <c r="A611" s="29"/>
      <c r="B611" s="29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</row>
    <row r="612" spans="1:46" ht="13.2" x14ac:dyDescent="0.25">
      <c r="A612" s="29"/>
      <c r="B612" s="29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</row>
    <row r="613" spans="1:46" ht="13.2" x14ac:dyDescent="0.25">
      <c r="A613" s="29"/>
      <c r="B613" s="29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</row>
    <row r="614" spans="1:46" ht="13.2" x14ac:dyDescent="0.25">
      <c r="A614" s="29"/>
      <c r="B614" s="29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</row>
    <row r="615" spans="1:46" ht="13.2" x14ac:dyDescent="0.25">
      <c r="A615" s="29"/>
      <c r="B615" s="29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</row>
    <row r="616" spans="1:46" ht="13.2" x14ac:dyDescent="0.25">
      <c r="A616" s="29"/>
      <c r="B616" s="29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</row>
    <row r="617" spans="1:46" ht="13.2" x14ac:dyDescent="0.25">
      <c r="A617" s="29"/>
      <c r="B617" s="29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</row>
    <row r="618" spans="1:46" ht="13.2" x14ac:dyDescent="0.25">
      <c r="A618" s="29"/>
      <c r="B618" s="29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</row>
    <row r="619" spans="1:46" ht="13.2" x14ac:dyDescent="0.25">
      <c r="A619" s="29"/>
      <c r="B619" s="29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</row>
    <row r="620" spans="1:46" ht="13.2" x14ac:dyDescent="0.25">
      <c r="A620" s="29"/>
      <c r="B620" s="29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</row>
    <row r="621" spans="1:46" ht="13.2" x14ac:dyDescent="0.25">
      <c r="A621" s="29"/>
      <c r="B621" s="29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</row>
    <row r="622" spans="1:46" ht="13.2" x14ac:dyDescent="0.25">
      <c r="A622" s="29"/>
      <c r="B622" s="29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</row>
    <row r="623" spans="1:46" ht="13.2" x14ac:dyDescent="0.25">
      <c r="A623" s="29"/>
      <c r="B623" s="29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</row>
    <row r="624" spans="1:46" ht="13.2" x14ac:dyDescent="0.25">
      <c r="A624" s="29"/>
      <c r="B624" s="29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</row>
    <row r="625" spans="1:46" ht="13.2" x14ac:dyDescent="0.25">
      <c r="A625" s="29"/>
      <c r="B625" s="29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</row>
    <row r="626" spans="1:46" ht="13.2" x14ac:dyDescent="0.25">
      <c r="A626" s="29"/>
      <c r="B626" s="29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</row>
    <row r="627" spans="1:46" ht="13.2" x14ac:dyDescent="0.25">
      <c r="A627" s="29"/>
      <c r="B627" s="29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</row>
    <row r="628" spans="1:46" ht="13.2" x14ac:dyDescent="0.25">
      <c r="A628" s="29"/>
      <c r="B628" s="29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</row>
    <row r="629" spans="1:46" ht="13.2" x14ac:dyDescent="0.25">
      <c r="A629" s="29"/>
      <c r="B629" s="29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</row>
    <row r="630" spans="1:46" ht="13.2" x14ac:dyDescent="0.25">
      <c r="A630" s="29"/>
      <c r="B630" s="29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</row>
    <row r="631" spans="1:46" ht="13.2" x14ac:dyDescent="0.25">
      <c r="A631" s="29"/>
      <c r="B631" s="29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</row>
    <row r="632" spans="1:46" ht="13.2" x14ac:dyDescent="0.25">
      <c r="A632" s="29"/>
      <c r="B632" s="29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</row>
    <row r="633" spans="1:46" ht="13.2" x14ac:dyDescent="0.25">
      <c r="A633" s="29"/>
      <c r="B633" s="29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</row>
    <row r="634" spans="1:46" ht="13.2" x14ac:dyDescent="0.25">
      <c r="A634" s="29"/>
      <c r="B634" s="29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</row>
    <row r="635" spans="1:46" ht="13.2" x14ac:dyDescent="0.25">
      <c r="A635" s="29"/>
      <c r="B635" s="29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</row>
    <row r="636" spans="1:46" ht="13.2" x14ac:dyDescent="0.25">
      <c r="A636" s="29"/>
      <c r="B636" s="29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</row>
    <row r="637" spans="1:46" ht="13.2" x14ac:dyDescent="0.25">
      <c r="A637" s="29"/>
      <c r="B637" s="29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</row>
    <row r="638" spans="1:46" ht="13.2" x14ac:dyDescent="0.25">
      <c r="A638" s="29"/>
      <c r="B638" s="29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</row>
    <row r="639" spans="1:46" ht="13.2" x14ac:dyDescent="0.25">
      <c r="A639" s="29"/>
      <c r="B639" s="29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</row>
    <row r="640" spans="1:46" ht="13.2" x14ac:dyDescent="0.25">
      <c r="A640" s="29"/>
      <c r="B640" s="29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</row>
    <row r="641" spans="1:46" ht="13.2" x14ac:dyDescent="0.25">
      <c r="A641" s="29"/>
      <c r="B641" s="29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</row>
    <row r="642" spans="1:46" ht="13.2" x14ac:dyDescent="0.25">
      <c r="A642" s="29"/>
      <c r="B642" s="29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</row>
    <row r="643" spans="1:46" ht="13.2" x14ac:dyDescent="0.25">
      <c r="A643" s="29"/>
      <c r="B643" s="29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</row>
    <row r="644" spans="1:46" ht="13.2" x14ac:dyDescent="0.25">
      <c r="A644" s="29"/>
      <c r="B644" s="29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</row>
    <row r="645" spans="1:46" ht="13.2" x14ac:dyDescent="0.25">
      <c r="A645" s="29"/>
      <c r="B645" s="29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</row>
    <row r="646" spans="1:46" ht="13.2" x14ac:dyDescent="0.25">
      <c r="A646" s="29"/>
      <c r="B646" s="29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</row>
    <row r="647" spans="1:46" ht="13.2" x14ac:dyDescent="0.25">
      <c r="A647" s="29"/>
      <c r="B647" s="29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</row>
    <row r="648" spans="1:46" ht="13.2" x14ac:dyDescent="0.25">
      <c r="A648" s="29"/>
      <c r="B648" s="29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</row>
    <row r="649" spans="1:46" ht="13.2" x14ac:dyDescent="0.25">
      <c r="A649" s="29"/>
      <c r="B649" s="29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</row>
    <row r="650" spans="1:46" ht="13.2" x14ac:dyDescent="0.25">
      <c r="A650" s="29"/>
      <c r="B650" s="29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</row>
    <row r="651" spans="1:46" ht="13.2" x14ac:dyDescent="0.25">
      <c r="A651" s="29"/>
      <c r="B651" s="29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</row>
    <row r="652" spans="1:46" ht="13.2" x14ac:dyDescent="0.25">
      <c r="A652" s="29"/>
      <c r="B652" s="29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</row>
    <row r="653" spans="1:46" ht="13.2" x14ac:dyDescent="0.25">
      <c r="A653" s="29"/>
      <c r="B653" s="29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</row>
    <row r="654" spans="1:46" ht="13.2" x14ac:dyDescent="0.25">
      <c r="A654" s="29"/>
      <c r="B654" s="29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</row>
    <row r="655" spans="1:46" ht="13.2" x14ac:dyDescent="0.25">
      <c r="A655" s="29"/>
      <c r="B655" s="29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</row>
    <row r="656" spans="1:46" ht="13.2" x14ac:dyDescent="0.25">
      <c r="A656" s="29"/>
      <c r="B656" s="29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</row>
    <row r="657" spans="1:46" ht="13.2" x14ac:dyDescent="0.25">
      <c r="A657" s="29"/>
      <c r="B657" s="29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</row>
    <row r="658" spans="1:46" ht="13.2" x14ac:dyDescent="0.25">
      <c r="A658" s="29"/>
      <c r="B658" s="29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</row>
    <row r="659" spans="1:46" ht="13.2" x14ac:dyDescent="0.25">
      <c r="A659" s="29"/>
      <c r="B659" s="29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</row>
    <row r="660" spans="1:46" ht="13.2" x14ac:dyDescent="0.25">
      <c r="A660" s="29"/>
      <c r="B660" s="29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</row>
    <row r="661" spans="1:46" ht="13.2" x14ac:dyDescent="0.25">
      <c r="A661" s="29"/>
      <c r="B661" s="29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</row>
    <row r="662" spans="1:46" ht="13.2" x14ac:dyDescent="0.25">
      <c r="A662" s="29"/>
      <c r="B662" s="29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</row>
    <row r="663" spans="1:46" ht="13.2" x14ac:dyDescent="0.25">
      <c r="A663" s="29"/>
      <c r="B663" s="29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</row>
    <row r="664" spans="1:46" ht="13.2" x14ac:dyDescent="0.25">
      <c r="A664" s="29"/>
      <c r="B664" s="29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</row>
    <row r="665" spans="1:46" ht="13.2" x14ac:dyDescent="0.25">
      <c r="A665" s="29"/>
      <c r="B665" s="29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</row>
    <row r="666" spans="1:46" ht="13.2" x14ac:dyDescent="0.25">
      <c r="A666" s="29"/>
      <c r="B666" s="29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</row>
    <row r="667" spans="1:46" ht="13.2" x14ac:dyDescent="0.25">
      <c r="A667" s="29"/>
      <c r="B667" s="29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</row>
    <row r="668" spans="1:46" ht="13.2" x14ac:dyDescent="0.25">
      <c r="A668" s="29"/>
      <c r="B668" s="29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</row>
    <row r="669" spans="1:46" ht="13.2" x14ac:dyDescent="0.25">
      <c r="A669" s="29"/>
      <c r="B669" s="29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</row>
    <row r="670" spans="1:46" ht="13.2" x14ac:dyDescent="0.25">
      <c r="A670" s="29"/>
      <c r="B670" s="29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</row>
    <row r="671" spans="1:46" ht="13.2" x14ac:dyDescent="0.25">
      <c r="A671" s="29"/>
      <c r="B671" s="29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</row>
    <row r="672" spans="1:46" ht="13.2" x14ac:dyDescent="0.25">
      <c r="A672" s="29"/>
      <c r="B672" s="29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</row>
    <row r="673" spans="1:46" ht="13.2" x14ac:dyDescent="0.25">
      <c r="A673" s="29"/>
      <c r="B673" s="29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</row>
    <row r="674" spans="1:46" ht="13.2" x14ac:dyDescent="0.25">
      <c r="A674" s="29"/>
      <c r="B674" s="29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</row>
    <row r="675" spans="1:46" ht="13.2" x14ac:dyDescent="0.25">
      <c r="A675" s="29"/>
      <c r="B675" s="29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</row>
    <row r="676" spans="1:46" ht="13.2" x14ac:dyDescent="0.25">
      <c r="A676" s="29"/>
      <c r="B676" s="29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</row>
    <row r="677" spans="1:46" ht="13.2" x14ac:dyDescent="0.25">
      <c r="A677" s="29"/>
      <c r="B677" s="29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</row>
    <row r="678" spans="1:46" ht="13.2" x14ac:dyDescent="0.25">
      <c r="A678" s="29"/>
      <c r="B678" s="29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</row>
    <row r="679" spans="1:46" ht="13.2" x14ac:dyDescent="0.25">
      <c r="A679" s="29"/>
      <c r="B679" s="29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</row>
    <row r="680" spans="1:46" ht="13.2" x14ac:dyDescent="0.25">
      <c r="A680" s="29"/>
      <c r="B680" s="29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</row>
    <row r="681" spans="1:46" ht="13.2" x14ac:dyDescent="0.25">
      <c r="A681" s="29"/>
      <c r="B681" s="29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</row>
    <row r="682" spans="1:46" ht="13.2" x14ac:dyDescent="0.25">
      <c r="A682" s="29"/>
      <c r="B682" s="29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</row>
    <row r="683" spans="1:46" ht="13.2" x14ac:dyDescent="0.25">
      <c r="A683" s="29"/>
      <c r="B683" s="29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</row>
    <row r="684" spans="1:46" ht="13.2" x14ac:dyDescent="0.25">
      <c r="A684" s="29"/>
      <c r="B684" s="29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</row>
    <row r="685" spans="1:46" ht="13.2" x14ac:dyDescent="0.25">
      <c r="A685" s="29"/>
      <c r="B685" s="29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</row>
    <row r="686" spans="1:46" ht="13.2" x14ac:dyDescent="0.25">
      <c r="A686" s="29"/>
      <c r="B686" s="29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</row>
    <row r="687" spans="1:46" ht="13.2" x14ac:dyDescent="0.25">
      <c r="A687" s="29"/>
      <c r="B687" s="29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</row>
    <row r="688" spans="1:46" ht="13.2" x14ac:dyDescent="0.25">
      <c r="A688" s="29"/>
      <c r="B688" s="29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</row>
    <row r="689" spans="1:46" ht="13.2" x14ac:dyDescent="0.25">
      <c r="A689" s="29"/>
      <c r="B689" s="29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</row>
    <row r="690" spans="1:46" ht="13.2" x14ac:dyDescent="0.25">
      <c r="A690" s="29"/>
      <c r="B690" s="29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</row>
    <row r="691" spans="1:46" ht="13.2" x14ac:dyDescent="0.25">
      <c r="A691" s="29"/>
      <c r="B691" s="29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</row>
    <row r="692" spans="1:46" ht="13.2" x14ac:dyDescent="0.25">
      <c r="A692" s="29"/>
      <c r="B692" s="29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</row>
    <row r="693" spans="1:46" ht="13.2" x14ac:dyDescent="0.25">
      <c r="A693" s="29"/>
      <c r="B693" s="29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</row>
    <row r="694" spans="1:46" ht="13.2" x14ac:dyDescent="0.25">
      <c r="A694" s="29"/>
      <c r="B694" s="29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</row>
    <row r="695" spans="1:46" ht="13.2" x14ac:dyDescent="0.25">
      <c r="A695" s="29"/>
      <c r="B695" s="29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</row>
    <row r="696" spans="1:46" ht="13.2" x14ac:dyDescent="0.25">
      <c r="A696" s="29"/>
      <c r="B696" s="29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</row>
    <row r="697" spans="1:46" ht="13.2" x14ac:dyDescent="0.25">
      <c r="A697" s="29"/>
      <c r="B697" s="29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</row>
    <row r="698" spans="1:46" ht="13.2" x14ac:dyDescent="0.25">
      <c r="A698" s="29"/>
      <c r="B698" s="29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</row>
    <row r="699" spans="1:46" ht="13.2" x14ac:dyDescent="0.25">
      <c r="A699" s="29"/>
      <c r="B699" s="29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</row>
    <row r="700" spans="1:46" ht="13.2" x14ac:dyDescent="0.25">
      <c r="A700" s="29"/>
      <c r="B700" s="29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</row>
    <row r="701" spans="1:46" ht="13.2" x14ac:dyDescent="0.25">
      <c r="A701" s="29"/>
      <c r="B701" s="29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</row>
    <row r="702" spans="1:46" ht="13.2" x14ac:dyDescent="0.25">
      <c r="A702" s="29"/>
      <c r="B702" s="29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</row>
    <row r="703" spans="1:46" ht="13.2" x14ac:dyDescent="0.25">
      <c r="A703" s="29"/>
      <c r="B703" s="29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</row>
    <row r="704" spans="1:46" ht="13.2" x14ac:dyDescent="0.25">
      <c r="A704" s="29"/>
      <c r="B704" s="29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</row>
    <row r="705" spans="1:46" ht="13.2" x14ac:dyDescent="0.25">
      <c r="A705" s="29"/>
      <c r="B705" s="29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</row>
    <row r="706" spans="1:46" ht="13.2" x14ac:dyDescent="0.25">
      <c r="A706" s="29"/>
      <c r="B706" s="29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</row>
    <row r="707" spans="1:46" ht="13.2" x14ac:dyDescent="0.25">
      <c r="A707" s="29"/>
      <c r="B707" s="29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</row>
    <row r="708" spans="1:46" ht="13.2" x14ac:dyDescent="0.25">
      <c r="A708" s="29"/>
      <c r="B708" s="29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</row>
    <row r="709" spans="1:46" ht="13.2" x14ac:dyDescent="0.25">
      <c r="A709" s="29"/>
      <c r="B709" s="29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</row>
    <row r="710" spans="1:46" ht="13.2" x14ac:dyDescent="0.25">
      <c r="A710" s="29"/>
      <c r="B710" s="29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</row>
    <row r="711" spans="1:46" ht="13.2" x14ac:dyDescent="0.25">
      <c r="A711" s="29"/>
      <c r="B711" s="29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</row>
    <row r="712" spans="1:46" ht="13.2" x14ac:dyDescent="0.25">
      <c r="A712" s="29"/>
      <c r="B712" s="29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</row>
    <row r="713" spans="1:46" ht="13.2" x14ac:dyDescent="0.25">
      <c r="A713" s="29"/>
      <c r="B713" s="29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</row>
    <row r="714" spans="1:46" ht="13.2" x14ac:dyDescent="0.25">
      <c r="A714" s="29"/>
      <c r="B714" s="29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</row>
    <row r="715" spans="1:46" ht="13.2" x14ac:dyDescent="0.25">
      <c r="A715" s="29"/>
      <c r="B715" s="29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</row>
    <row r="716" spans="1:46" ht="13.2" x14ac:dyDescent="0.25">
      <c r="A716" s="29"/>
      <c r="B716" s="29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</row>
    <row r="717" spans="1:46" ht="13.2" x14ac:dyDescent="0.25">
      <c r="A717" s="29"/>
      <c r="B717" s="29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</row>
    <row r="718" spans="1:46" ht="13.2" x14ac:dyDescent="0.25">
      <c r="A718" s="29"/>
      <c r="B718" s="29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</row>
    <row r="719" spans="1:46" ht="13.2" x14ac:dyDescent="0.25">
      <c r="A719" s="29"/>
      <c r="B719" s="29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</row>
    <row r="720" spans="1:46" ht="13.2" x14ac:dyDescent="0.25">
      <c r="A720" s="29"/>
      <c r="B720" s="29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</row>
    <row r="721" spans="1:46" ht="13.2" x14ac:dyDescent="0.25">
      <c r="A721" s="29"/>
      <c r="B721" s="29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</row>
    <row r="722" spans="1:46" ht="13.2" x14ac:dyDescent="0.25">
      <c r="A722" s="29"/>
      <c r="B722" s="29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</row>
    <row r="723" spans="1:46" ht="13.2" x14ac:dyDescent="0.25">
      <c r="A723" s="29"/>
      <c r="B723" s="29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</row>
    <row r="724" spans="1:46" ht="13.2" x14ac:dyDescent="0.25">
      <c r="A724" s="29"/>
      <c r="B724" s="29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</row>
    <row r="725" spans="1:46" ht="13.2" x14ac:dyDescent="0.25">
      <c r="A725" s="29"/>
      <c r="B725" s="29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</row>
    <row r="726" spans="1:46" ht="13.2" x14ac:dyDescent="0.25">
      <c r="A726" s="29"/>
      <c r="B726" s="29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</row>
    <row r="727" spans="1:46" ht="13.2" x14ac:dyDescent="0.25">
      <c r="A727" s="29"/>
      <c r="B727" s="29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</row>
    <row r="728" spans="1:46" ht="13.2" x14ac:dyDescent="0.25">
      <c r="A728" s="29"/>
      <c r="B728" s="29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</row>
    <row r="729" spans="1:46" ht="13.2" x14ac:dyDescent="0.25">
      <c r="A729" s="29"/>
      <c r="B729" s="29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</row>
    <row r="730" spans="1:46" ht="13.2" x14ac:dyDescent="0.25">
      <c r="A730" s="29"/>
      <c r="B730" s="29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</row>
    <row r="731" spans="1:46" ht="13.2" x14ac:dyDescent="0.25">
      <c r="A731" s="29"/>
      <c r="B731" s="29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</row>
    <row r="732" spans="1:46" ht="13.2" x14ac:dyDescent="0.25">
      <c r="A732" s="29"/>
      <c r="B732" s="29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</row>
    <row r="733" spans="1:46" ht="13.2" x14ac:dyDescent="0.25">
      <c r="A733" s="29"/>
      <c r="B733" s="29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</row>
    <row r="734" spans="1:46" ht="13.2" x14ac:dyDescent="0.25">
      <c r="A734" s="29"/>
      <c r="B734" s="29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</row>
    <row r="735" spans="1:46" ht="13.2" x14ac:dyDescent="0.25">
      <c r="A735" s="29"/>
      <c r="B735" s="29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</row>
    <row r="736" spans="1:46" ht="13.2" x14ac:dyDescent="0.25">
      <c r="A736" s="29"/>
      <c r="B736" s="29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</row>
    <row r="737" spans="1:46" ht="13.2" x14ac:dyDescent="0.25">
      <c r="A737" s="29"/>
      <c r="B737" s="29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</row>
    <row r="738" spans="1:46" ht="13.2" x14ac:dyDescent="0.25">
      <c r="A738" s="29"/>
      <c r="B738" s="29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</row>
    <row r="739" spans="1:46" ht="13.2" x14ac:dyDescent="0.25">
      <c r="A739" s="29"/>
      <c r="B739" s="29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</row>
    <row r="740" spans="1:46" ht="13.2" x14ac:dyDescent="0.25">
      <c r="A740" s="29"/>
      <c r="B740" s="29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</row>
    <row r="741" spans="1:46" ht="13.2" x14ac:dyDescent="0.25">
      <c r="A741" s="29"/>
      <c r="B741" s="29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</row>
    <row r="742" spans="1:46" ht="13.2" x14ac:dyDescent="0.25">
      <c r="A742" s="29"/>
      <c r="B742" s="29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</row>
    <row r="743" spans="1:46" ht="13.2" x14ac:dyDescent="0.25">
      <c r="A743" s="29"/>
      <c r="B743" s="29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</row>
    <row r="744" spans="1:46" ht="13.2" x14ac:dyDescent="0.25">
      <c r="A744" s="29"/>
      <c r="B744" s="29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</row>
    <row r="745" spans="1:46" ht="13.2" x14ac:dyDescent="0.25">
      <c r="A745" s="29"/>
      <c r="B745" s="29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</row>
    <row r="746" spans="1:46" ht="13.2" x14ac:dyDescent="0.25">
      <c r="A746" s="29"/>
      <c r="B746" s="29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</row>
    <row r="747" spans="1:46" ht="13.2" x14ac:dyDescent="0.25">
      <c r="A747" s="29"/>
      <c r="B747" s="29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</row>
    <row r="748" spans="1:46" ht="13.2" x14ac:dyDescent="0.25">
      <c r="A748" s="29"/>
      <c r="B748" s="29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</row>
    <row r="749" spans="1:46" ht="13.2" x14ac:dyDescent="0.25">
      <c r="A749" s="29"/>
      <c r="B749" s="29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</row>
    <row r="750" spans="1:46" ht="13.2" x14ac:dyDescent="0.25">
      <c r="A750" s="29"/>
      <c r="B750" s="29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</row>
    <row r="751" spans="1:46" ht="13.2" x14ac:dyDescent="0.25">
      <c r="A751" s="29"/>
      <c r="B751" s="29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</row>
    <row r="752" spans="1:46" ht="13.2" x14ac:dyDescent="0.25">
      <c r="A752" s="29"/>
      <c r="B752" s="29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</row>
    <row r="753" spans="1:46" ht="13.2" x14ac:dyDescent="0.25">
      <c r="A753" s="29"/>
      <c r="B753" s="29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</row>
    <row r="754" spans="1:46" ht="13.2" x14ac:dyDescent="0.25">
      <c r="A754" s="29"/>
      <c r="B754" s="29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</row>
    <row r="755" spans="1:46" ht="13.2" x14ac:dyDescent="0.25">
      <c r="A755" s="29"/>
      <c r="B755" s="29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</row>
    <row r="756" spans="1:46" ht="13.2" x14ac:dyDescent="0.25">
      <c r="A756" s="29"/>
      <c r="B756" s="29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</row>
    <row r="757" spans="1:46" ht="13.2" x14ac:dyDescent="0.25">
      <c r="A757" s="29"/>
      <c r="B757" s="29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</row>
    <row r="758" spans="1:46" ht="13.2" x14ac:dyDescent="0.25">
      <c r="A758" s="29"/>
      <c r="B758" s="29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</row>
    <row r="759" spans="1:46" ht="13.2" x14ac:dyDescent="0.25">
      <c r="A759" s="29"/>
      <c r="B759" s="29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</row>
    <row r="760" spans="1:46" ht="13.2" x14ac:dyDescent="0.25">
      <c r="A760" s="29"/>
      <c r="B760" s="29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</row>
    <row r="761" spans="1:46" ht="13.2" x14ac:dyDescent="0.25">
      <c r="A761" s="29"/>
      <c r="B761" s="29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</row>
    <row r="762" spans="1:46" ht="13.2" x14ac:dyDescent="0.25">
      <c r="A762" s="29"/>
      <c r="B762" s="29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</row>
    <row r="763" spans="1:46" ht="13.2" x14ac:dyDescent="0.25">
      <c r="A763" s="29"/>
      <c r="B763" s="29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</row>
    <row r="764" spans="1:46" ht="13.2" x14ac:dyDescent="0.25">
      <c r="A764" s="29"/>
      <c r="B764" s="29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</row>
    <row r="765" spans="1:46" ht="13.2" x14ac:dyDescent="0.25">
      <c r="A765" s="29"/>
      <c r="B765" s="29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</row>
    <row r="766" spans="1:46" ht="13.2" x14ac:dyDescent="0.25">
      <c r="A766" s="29"/>
      <c r="B766" s="29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</row>
    <row r="767" spans="1:46" ht="13.2" x14ac:dyDescent="0.25">
      <c r="A767" s="29"/>
      <c r="B767" s="29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</row>
    <row r="768" spans="1:46" ht="13.2" x14ac:dyDescent="0.25">
      <c r="A768" s="29"/>
      <c r="B768" s="29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</row>
    <row r="769" spans="1:46" ht="13.2" x14ac:dyDescent="0.25">
      <c r="A769" s="29"/>
      <c r="B769" s="29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</row>
    <row r="770" spans="1:46" ht="13.2" x14ac:dyDescent="0.25">
      <c r="A770" s="29"/>
      <c r="B770" s="29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</row>
    <row r="771" spans="1:46" ht="13.2" x14ac:dyDescent="0.25">
      <c r="A771" s="29"/>
      <c r="B771" s="29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</row>
    <row r="772" spans="1:46" ht="13.2" x14ac:dyDescent="0.25">
      <c r="A772" s="29"/>
      <c r="B772" s="29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</row>
    <row r="773" spans="1:46" ht="13.2" x14ac:dyDescent="0.25">
      <c r="A773" s="29"/>
      <c r="B773" s="29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</row>
    <row r="774" spans="1:46" ht="13.2" x14ac:dyDescent="0.25">
      <c r="A774" s="29"/>
      <c r="B774" s="29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</row>
    <row r="775" spans="1:46" ht="13.2" x14ac:dyDescent="0.25">
      <c r="A775" s="29"/>
      <c r="B775" s="29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</row>
    <row r="776" spans="1:46" ht="13.2" x14ac:dyDescent="0.25">
      <c r="A776" s="29"/>
      <c r="B776" s="29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</row>
    <row r="777" spans="1:46" ht="13.2" x14ac:dyDescent="0.25">
      <c r="A777" s="29"/>
      <c r="B777" s="29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</row>
    <row r="778" spans="1:46" ht="13.2" x14ac:dyDescent="0.25">
      <c r="A778" s="29"/>
      <c r="B778" s="29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</row>
    <row r="779" spans="1:46" ht="13.2" x14ac:dyDescent="0.25">
      <c r="A779" s="29"/>
      <c r="B779" s="29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</row>
    <row r="780" spans="1:46" ht="13.2" x14ac:dyDescent="0.25">
      <c r="A780" s="29"/>
      <c r="B780" s="29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</row>
    <row r="781" spans="1:46" ht="13.2" x14ac:dyDescent="0.25">
      <c r="A781" s="29"/>
      <c r="B781" s="29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</row>
    <row r="782" spans="1:46" ht="13.2" x14ac:dyDescent="0.25">
      <c r="A782" s="29"/>
      <c r="B782" s="29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</row>
    <row r="783" spans="1:46" ht="13.2" x14ac:dyDescent="0.25">
      <c r="A783" s="29"/>
      <c r="B783" s="29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</row>
    <row r="784" spans="1:46" ht="13.2" x14ac:dyDescent="0.25">
      <c r="A784" s="29"/>
      <c r="B784" s="29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</row>
    <row r="785" spans="1:46" ht="13.2" x14ac:dyDescent="0.25">
      <c r="A785" s="29"/>
      <c r="B785" s="29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</row>
    <row r="786" spans="1:46" ht="13.2" x14ac:dyDescent="0.25">
      <c r="A786" s="29"/>
      <c r="B786" s="29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</row>
    <row r="787" spans="1:46" ht="13.2" x14ac:dyDescent="0.25">
      <c r="A787" s="29"/>
      <c r="B787" s="29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</row>
    <row r="788" spans="1:46" ht="13.2" x14ac:dyDescent="0.25">
      <c r="A788" s="29"/>
      <c r="B788" s="29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</row>
    <row r="789" spans="1:46" ht="13.2" x14ac:dyDescent="0.25">
      <c r="A789" s="29"/>
      <c r="B789" s="29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</row>
    <row r="790" spans="1:46" ht="13.2" x14ac:dyDescent="0.25">
      <c r="A790" s="29"/>
      <c r="B790" s="29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</row>
    <row r="791" spans="1:46" ht="13.2" x14ac:dyDescent="0.25">
      <c r="A791" s="29"/>
      <c r="B791" s="29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</row>
    <row r="792" spans="1:46" ht="13.2" x14ac:dyDescent="0.25">
      <c r="A792" s="29"/>
      <c r="B792" s="29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</row>
    <row r="793" spans="1:46" ht="13.2" x14ac:dyDescent="0.25">
      <c r="A793" s="29"/>
      <c r="B793" s="29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</row>
    <row r="794" spans="1:46" ht="13.2" x14ac:dyDescent="0.25">
      <c r="A794" s="29"/>
      <c r="B794" s="29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</row>
    <row r="795" spans="1:46" ht="13.2" x14ac:dyDescent="0.25">
      <c r="A795" s="29"/>
      <c r="B795" s="29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</row>
    <row r="796" spans="1:46" ht="13.2" x14ac:dyDescent="0.25">
      <c r="A796" s="29"/>
      <c r="B796" s="29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</row>
    <row r="797" spans="1:46" ht="13.2" x14ac:dyDescent="0.25">
      <c r="A797" s="29"/>
      <c r="B797" s="29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</row>
    <row r="798" spans="1:46" ht="13.2" x14ac:dyDescent="0.25">
      <c r="A798" s="29"/>
      <c r="B798" s="29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</row>
    <row r="799" spans="1:46" ht="13.2" x14ac:dyDescent="0.25">
      <c r="A799" s="29"/>
      <c r="B799" s="29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</row>
    <row r="800" spans="1:46" ht="13.2" x14ac:dyDescent="0.25">
      <c r="A800" s="29"/>
      <c r="B800" s="29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</row>
    <row r="801" spans="1:46" ht="13.2" x14ac:dyDescent="0.25">
      <c r="A801" s="29"/>
      <c r="B801" s="29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</row>
    <row r="802" spans="1:46" ht="13.2" x14ac:dyDescent="0.25">
      <c r="A802" s="29"/>
      <c r="B802" s="29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</row>
    <row r="803" spans="1:46" ht="13.2" x14ac:dyDescent="0.25">
      <c r="A803" s="29"/>
      <c r="B803" s="29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</row>
    <row r="804" spans="1:46" ht="13.2" x14ac:dyDescent="0.25">
      <c r="A804" s="29"/>
      <c r="B804" s="29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</row>
    <row r="805" spans="1:46" ht="13.2" x14ac:dyDescent="0.25">
      <c r="A805" s="29"/>
      <c r="B805" s="29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</row>
    <row r="806" spans="1:46" ht="13.2" x14ac:dyDescent="0.25">
      <c r="A806" s="29"/>
      <c r="B806" s="29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</row>
    <row r="807" spans="1:46" ht="13.2" x14ac:dyDescent="0.25">
      <c r="A807" s="29"/>
      <c r="B807" s="29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</row>
    <row r="808" spans="1:46" ht="13.2" x14ac:dyDescent="0.25">
      <c r="A808" s="29"/>
      <c r="B808" s="29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</row>
    <row r="809" spans="1:46" ht="13.2" x14ac:dyDescent="0.25">
      <c r="A809" s="29"/>
      <c r="B809" s="29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</row>
    <row r="810" spans="1:46" ht="13.2" x14ac:dyDescent="0.25">
      <c r="A810" s="29"/>
      <c r="B810" s="29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</row>
    <row r="811" spans="1:46" ht="13.2" x14ac:dyDescent="0.25">
      <c r="A811" s="29"/>
      <c r="B811" s="29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</row>
    <row r="812" spans="1:46" ht="13.2" x14ac:dyDescent="0.25">
      <c r="A812" s="29"/>
      <c r="B812" s="29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</row>
    <row r="813" spans="1:46" ht="13.2" x14ac:dyDescent="0.25">
      <c r="A813" s="29"/>
      <c r="B813" s="29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</row>
    <row r="814" spans="1:46" ht="13.2" x14ac:dyDescent="0.25">
      <c r="A814" s="29"/>
      <c r="B814" s="29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</row>
    <row r="815" spans="1:46" ht="13.2" x14ac:dyDescent="0.25">
      <c r="A815" s="29"/>
      <c r="B815" s="29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</row>
    <row r="816" spans="1:46" ht="13.2" x14ac:dyDescent="0.25">
      <c r="A816" s="29"/>
      <c r="B816" s="29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</row>
    <row r="817" spans="1:46" ht="13.2" x14ac:dyDescent="0.25">
      <c r="A817" s="29"/>
      <c r="B817" s="29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</row>
    <row r="818" spans="1:46" ht="13.2" x14ac:dyDescent="0.25">
      <c r="A818" s="29"/>
      <c r="B818" s="29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</row>
    <row r="819" spans="1:46" ht="13.2" x14ac:dyDescent="0.25">
      <c r="A819" s="29"/>
      <c r="B819" s="29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</row>
    <row r="820" spans="1:46" ht="13.2" x14ac:dyDescent="0.25">
      <c r="A820" s="29"/>
      <c r="B820" s="29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</row>
    <row r="821" spans="1:46" ht="13.2" x14ac:dyDescent="0.25">
      <c r="A821" s="29"/>
      <c r="B821" s="29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</row>
    <row r="822" spans="1:46" ht="13.2" x14ac:dyDescent="0.25">
      <c r="A822" s="29"/>
      <c r="B822" s="29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</row>
    <row r="823" spans="1:46" ht="13.2" x14ac:dyDescent="0.25">
      <c r="A823" s="29"/>
      <c r="B823" s="29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</row>
    <row r="824" spans="1:46" ht="13.2" x14ac:dyDescent="0.25">
      <c r="A824" s="29"/>
      <c r="B824" s="29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</row>
    <row r="825" spans="1:46" ht="13.2" x14ac:dyDescent="0.25">
      <c r="A825" s="29"/>
      <c r="B825" s="29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</row>
    <row r="826" spans="1:46" ht="13.2" x14ac:dyDescent="0.25">
      <c r="A826" s="29"/>
      <c r="B826" s="29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</row>
    <row r="827" spans="1:46" ht="13.2" x14ac:dyDescent="0.25">
      <c r="A827" s="29"/>
      <c r="B827" s="29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</row>
    <row r="828" spans="1:46" ht="13.2" x14ac:dyDescent="0.25">
      <c r="A828" s="29"/>
      <c r="B828" s="29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</row>
    <row r="829" spans="1:46" ht="13.2" x14ac:dyDescent="0.25">
      <c r="A829" s="29"/>
      <c r="B829" s="29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</row>
    <row r="830" spans="1:46" ht="13.2" x14ac:dyDescent="0.25">
      <c r="A830" s="29"/>
      <c r="B830" s="29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</row>
    <row r="831" spans="1:46" ht="13.2" x14ac:dyDescent="0.25">
      <c r="A831" s="29"/>
      <c r="B831" s="29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</row>
    <row r="832" spans="1:46" ht="13.2" x14ac:dyDescent="0.25">
      <c r="A832" s="29"/>
      <c r="B832" s="29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</row>
    <row r="833" spans="1:46" ht="13.2" x14ac:dyDescent="0.25">
      <c r="A833" s="29"/>
      <c r="B833" s="29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</row>
    <row r="834" spans="1:46" ht="13.2" x14ac:dyDescent="0.25">
      <c r="A834" s="29"/>
      <c r="B834" s="29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</row>
    <row r="835" spans="1:46" ht="13.2" x14ac:dyDescent="0.25">
      <c r="A835" s="29"/>
      <c r="B835" s="29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</row>
    <row r="836" spans="1:46" ht="13.2" x14ac:dyDescent="0.25">
      <c r="A836" s="29"/>
      <c r="B836" s="29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</row>
    <row r="837" spans="1:46" ht="13.2" x14ac:dyDescent="0.25">
      <c r="A837" s="29"/>
      <c r="B837" s="29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</row>
    <row r="838" spans="1:46" ht="13.2" x14ac:dyDescent="0.25">
      <c r="A838" s="29"/>
      <c r="B838" s="29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</row>
    <row r="839" spans="1:46" ht="13.2" x14ac:dyDescent="0.25">
      <c r="A839" s="29"/>
      <c r="B839" s="29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</row>
    <row r="840" spans="1:46" ht="13.2" x14ac:dyDescent="0.25">
      <c r="A840" s="29"/>
      <c r="B840" s="29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</row>
    <row r="841" spans="1:46" ht="13.2" x14ac:dyDescent="0.25">
      <c r="A841" s="29"/>
      <c r="B841" s="29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</row>
    <row r="842" spans="1:46" ht="13.2" x14ac:dyDescent="0.25">
      <c r="A842" s="29"/>
      <c r="B842" s="29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</row>
    <row r="843" spans="1:46" ht="13.2" x14ac:dyDescent="0.25">
      <c r="A843" s="29"/>
      <c r="B843" s="29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</row>
    <row r="844" spans="1:46" ht="13.2" x14ac:dyDescent="0.25">
      <c r="A844" s="29"/>
      <c r="B844" s="29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</row>
    <row r="845" spans="1:46" ht="13.2" x14ac:dyDescent="0.25">
      <c r="A845" s="29"/>
      <c r="B845" s="29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</row>
    <row r="846" spans="1:46" ht="13.2" x14ac:dyDescent="0.25">
      <c r="A846" s="29"/>
      <c r="B846" s="29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</row>
    <row r="847" spans="1:46" ht="13.2" x14ac:dyDescent="0.25">
      <c r="A847" s="29"/>
      <c r="B847" s="29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</row>
    <row r="848" spans="1:46" ht="13.2" x14ac:dyDescent="0.25">
      <c r="A848" s="29"/>
      <c r="B848" s="29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</row>
    <row r="849" spans="1:46" ht="13.2" x14ac:dyDescent="0.25">
      <c r="A849" s="29"/>
      <c r="B849" s="29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</row>
    <row r="850" spans="1:46" ht="13.2" x14ac:dyDescent="0.25">
      <c r="A850" s="29"/>
      <c r="B850" s="29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</row>
    <row r="851" spans="1:46" ht="13.2" x14ac:dyDescent="0.25">
      <c r="A851" s="29"/>
      <c r="B851" s="29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</row>
    <row r="852" spans="1:46" ht="13.2" x14ac:dyDescent="0.25">
      <c r="A852" s="29"/>
      <c r="B852" s="29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</row>
    <row r="853" spans="1:46" ht="13.2" x14ac:dyDescent="0.25">
      <c r="A853" s="29"/>
      <c r="B853" s="29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</row>
    <row r="854" spans="1:46" ht="13.2" x14ac:dyDescent="0.25">
      <c r="A854" s="29"/>
      <c r="B854" s="29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</row>
    <row r="855" spans="1:46" ht="13.2" x14ac:dyDescent="0.25">
      <c r="A855" s="29"/>
      <c r="B855" s="29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</row>
    <row r="856" spans="1:46" ht="13.2" x14ac:dyDescent="0.25">
      <c r="A856" s="29"/>
      <c r="B856" s="29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</row>
    <row r="857" spans="1:46" ht="13.2" x14ac:dyDescent="0.25">
      <c r="A857" s="29"/>
      <c r="B857" s="29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</row>
    <row r="858" spans="1:46" ht="13.2" x14ac:dyDescent="0.25">
      <c r="A858" s="29"/>
      <c r="B858" s="29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</row>
    <row r="859" spans="1:46" ht="13.2" x14ac:dyDescent="0.25">
      <c r="A859" s="29"/>
      <c r="B859" s="29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</row>
    <row r="860" spans="1:46" ht="13.2" x14ac:dyDescent="0.25">
      <c r="A860" s="29"/>
      <c r="B860" s="29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</row>
    <row r="861" spans="1:46" ht="13.2" x14ac:dyDescent="0.25">
      <c r="A861" s="29"/>
      <c r="B861" s="29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</row>
    <row r="862" spans="1:46" ht="13.2" x14ac:dyDescent="0.25">
      <c r="A862" s="29"/>
      <c r="B862" s="29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</row>
    <row r="863" spans="1:46" ht="13.2" x14ac:dyDescent="0.25">
      <c r="A863" s="29"/>
      <c r="B863" s="29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</row>
    <row r="864" spans="1:46" ht="13.2" x14ac:dyDescent="0.25">
      <c r="A864" s="29"/>
      <c r="B864" s="29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</row>
    <row r="865" spans="1:46" ht="13.2" x14ac:dyDescent="0.25">
      <c r="A865" s="29"/>
      <c r="B865" s="29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</row>
    <row r="866" spans="1:46" ht="13.2" x14ac:dyDescent="0.25">
      <c r="A866" s="29"/>
      <c r="B866" s="29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</row>
    <row r="867" spans="1:46" ht="13.2" x14ac:dyDescent="0.25">
      <c r="A867" s="29"/>
      <c r="B867" s="29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</row>
    <row r="868" spans="1:46" ht="13.2" x14ac:dyDescent="0.25">
      <c r="A868" s="29"/>
      <c r="B868" s="29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</row>
    <row r="869" spans="1:46" ht="13.2" x14ac:dyDescent="0.25">
      <c r="A869" s="29"/>
      <c r="B869" s="29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</row>
    <row r="870" spans="1:46" ht="13.2" x14ac:dyDescent="0.25">
      <c r="A870" s="29"/>
      <c r="B870" s="29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</row>
    <row r="871" spans="1:46" ht="13.2" x14ac:dyDescent="0.25">
      <c r="A871" s="29"/>
      <c r="B871" s="29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</row>
    <row r="872" spans="1:46" ht="13.2" x14ac:dyDescent="0.25">
      <c r="A872" s="29"/>
      <c r="B872" s="29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</row>
    <row r="873" spans="1:46" ht="13.2" x14ac:dyDescent="0.25">
      <c r="A873" s="29"/>
      <c r="B873" s="29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</row>
    <row r="874" spans="1:46" ht="13.2" x14ac:dyDescent="0.25">
      <c r="A874" s="29"/>
      <c r="B874" s="29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</row>
    <row r="875" spans="1:46" ht="13.2" x14ac:dyDescent="0.25">
      <c r="A875" s="29"/>
      <c r="B875" s="29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</row>
    <row r="876" spans="1:46" ht="13.2" x14ac:dyDescent="0.25">
      <c r="A876" s="29"/>
      <c r="B876" s="29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</row>
    <row r="877" spans="1:46" ht="13.2" x14ac:dyDescent="0.25">
      <c r="A877" s="29"/>
      <c r="B877" s="29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</row>
    <row r="878" spans="1:46" ht="13.2" x14ac:dyDescent="0.25">
      <c r="A878" s="29"/>
      <c r="B878" s="29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</row>
    <row r="879" spans="1:46" ht="13.2" x14ac:dyDescent="0.25">
      <c r="A879" s="29"/>
      <c r="B879" s="29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</row>
    <row r="880" spans="1:46" ht="13.2" x14ac:dyDescent="0.25">
      <c r="A880" s="29"/>
      <c r="B880" s="29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</row>
    <row r="881" spans="1:46" ht="13.2" x14ac:dyDescent="0.25">
      <c r="A881" s="29"/>
      <c r="B881" s="29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</row>
    <row r="882" spans="1:46" ht="13.2" x14ac:dyDescent="0.25">
      <c r="A882" s="29"/>
      <c r="B882" s="29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</row>
    <row r="883" spans="1:46" ht="13.2" x14ac:dyDescent="0.25">
      <c r="A883" s="29"/>
      <c r="B883" s="29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</row>
    <row r="884" spans="1:46" ht="13.2" x14ac:dyDescent="0.25">
      <c r="A884" s="29"/>
      <c r="B884" s="29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</row>
    <row r="885" spans="1:46" ht="13.2" x14ac:dyDescent="0.25">
      <c r="A885" s="29"/>
      <c r="B885" s="29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</row>
    <row r="886" spans="1:46" ht="13.2" x14ac:dyDescent="0.25">
      <c r="A886" s="29"/>
      <c r="B886" s="29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</row>
    <row r="887" spans="1:46" ht="13.2" x14ac:dyDescent="0.25">
      <c r="A887" s="29"/>
      <c r="B887" s="29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</row>
    <row r="888" spans="1:46" ht="13.2" x14ac:dyDescent="0.25">
      <c r="A888" s="29"/>
      <c r="B888" s="29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</row>
    <row r="889" spans="1:46" ht="13.2" x14ac:dyDescent="0.25">
      <c r="A889" s="29"/>
      <c r="B889" s="29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</row>
    <row r="890" spans="1:46" ht="13.2" x14ac:dyDescent="0.25">
      <c r="A890" s="29"/>
      <c r="B890" s="29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</row>
    <row r="891" spans="1:46" ht="13.2" x14ac:dyDescent="0.25">
      <c r="A891" s="29"/>
      <c r="B891" s="29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</row>
    <row r="892" spans="1:46" ht="13.2" x14ac:dyDescent="0.25">
      <c r="A892" s="29"/>
      <c r="B892" s="29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</row>
    <row r="893" spans="1:46" ht="13.2" x14ac:dyDescent="0.25">
      <c r="A893" s="29"/>
      <c r="B893" s="29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</row>
    <row r="894" spans="1:46" ht="13.2" x14ac:dyDescent="0.25">
      <c r="A894" s="29"/>
      <c r="B894" s="29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</row>
    <row r="895" spans="1:46" ht="13.2" x14ac:dyDescent="0.25">
      <c r="A895" s="29"/>
      <c r="B895" s="29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</row>
    <row r="896" spans="1:46" ht="13.2" x14ac:dyDescent="0.25">
      <c r="A896" s="29"/>
      <c r="B896" s="29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</row>
    <row r="897" spans="1:46" ht="13.2" x14ac:dyDescent="0.25">
      <c r="A897" s="29"/>
      <c r="B897" s="29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</row>
    <row r="898" spans="1:46" ht="13.2" x14ac:dyDescent="0.25">
      <c r="A898" s="29"/>
      <c r="B898" s="29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</row>
    <row r="899" spans="1:46" ht="13.2" x14ac:dyDescent="0.25">
      <c r="A899" s="29"/>
      <c r="B899" s="29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</row>
    <row r="900" spans="1:46" ht="13.2" x14ac:dyDescent="0.25">
      <c r="A900" s="29"/>
      <c r="B900" s="29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</row>
    <row r="901" spans="1:46" ht="13.2" x14ac:dyDescent="0.25">
      <c r="A901" s="29"/>
      <c r="B901" s="29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</row>
    <row r="902" spans="1:46" ht="13.2" x14ac:dyDescent="0.25">
      <c r="A902" s="29"/>
      <c r="B902" s="29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</row>
    <row r="903" spans="1:46" ht="13.2" x14ac:dyDescent="0.25">
      <c r="A903" s="29"/>
      <c r="B903" s="29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</row>
    <row r="904" spans="1:46" ht="13.2" x14ac:dyDescent="0.25">
      <c r="A904" s="29"/>
      <c r="B904" s="29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</row>
    <row r="905" spans="1:46" ht="13.2" x14ac:dyDescent="0.25">
      <c r="A905" s="29"/>
      <c r="B905" s="29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</row>
    <row r="906" spans="1:46" ht="13.2" x14ac:dyDescent="0.25">
      <c r="A906" s="29"/>
      <c r="B906" s="29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</row>
    <row r="907" spans="1:46" ht="13.2" x14ac:dyDescent="0.25">
      <c r="A907" s="29"/>
      <c r="B907" s="29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</row>
    <row r="908" spans="1:46" ht="13.2" x14ac:dyDescent="0.25">
      <c r="A908" s="29"/>
      <c r="B908" s="29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</row>
    <row r="909" spans="1:46" ht="13.2" x14ac:dyDescent="0.25">
      <c r="A909" s="29"/>
      <c r="B909" s="29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</row>
    <row r="910" spans="1:46" ht="13.2" x14ac:dyDescent="0.25">
      <c r="A910" s="29"/>
      <c r="B910" s="29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</row>
    <row r="911" spans="1:46" ht="13.2" x14ac:dyDescent="0.25">
      <c r="A911" s="29"/>
      <c r="B911" s="29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</row>
    <row r="912" spans="1:46" ht="13.2" x14ac:dyDescent="0.25">
      <c r="A912" s="29"/>
      <c r="B912" s="29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</row>
    <row r="913" spans="1:46" ht="13.2" x14ac:dyDescent="0.25">
      <c r="A913" s="29"/>
      <c r="B913" s="29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</row>
    <row r="914" spans="1:46" ht="13.2" x14ac:dyDescent="0.25">
      <c r="A914" s="29"/>
      <c r="B914" s="29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</row>
    <row r="915" spans="1:46" ht="13.2" x14ac:dyDescent="0.25">
      <c r="A915" s="29"/>
      <c r="B915" s="29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</row>
    <row r="916" spans="1:46" ht="13.2" x14ac:dyDescent="0.25">
      <c r="A916" s="29"/>
      <c r="B916" s="29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</row>
    <row r="917" spans="1:46" ht="13.2" x14ac:dyDescent="0.25">
      <c r="A917" s="29"/>
      <c r="B917" s="29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</row>
    <row r="918" spans="1:46" ht="13.2" x14ac:dyDescent="0.25">
      <c r="A918" s="29"/>
      <c r="B918" s="29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</row>
    <row r="919" spans="1:46" ht="13.2" x14ac:dyDescent="0.25">
      <c r="A919" s="29"/>
      <c r="B919" s="29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</row>
    <row r="920" spans="1:46" ht="13.2" x14ac:dyDescent="0.25">
      <c r="A920" s="29"/>
      <c r="B920" s="29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</row>
    <row r="921" spans="1:46" ht="13.2" x14ac:dyDescent="0.25">
      <c r="A921" s="29"/>
      <c r="B921" s="29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</row>
    <row r="922" spans="1:46" ht="13.2" x14ac:dyDescent="0.25">
      <c r="A922" s="29"/>
      <c r="B922" s="29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</row>
    <row r="923" spans="1:46" ht="13.2" x14ac:dyDescent="0.25">
      <c r="A923" s="29"/>
      <c r="B923" s="29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</row>
    <row r="924" spans="1:46" ht="13.2" x14ac:dyDescent="0.25">
      <c r="A924" s="29"/>
      <c r="B924" s="29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</row>
    <row r="925" spans="1:46" ht="13.2" x14ac:dyDescent="0.25">
      <c r="A925" s="29"/>
      <c r="B925" s="29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</row>
    <row r="926" spans="1:46" ht="13.2" x14ac:dyDescent="0.25">
      <c r="A926" s="29"/>
      <c r="B926" s="29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</row>
    <row r="927" spans="1:46" ht="13.2" x14ac:dyDescent="0.25">
      <c r="A927" s="29"/>
      <c r="B927" s="29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</row>
    <row r="928" spans="1:46" ht="13.2" x14ac:dyDescent="0.25">
      <c r="A928" s="29"/>
      <c r="B928" s="29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</row>
    <row r="929" spans="1:46" ht="13.2" x14ac:dyDescent="0.25">
      <c r="A929" s="29"/>
      <c r="B929" s="29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</row>
    <row r="930" spans="1:46" ht="13.2" x14ac:dyDescent="0.25">
      <c r="A930" s="29"/>
      <c r="B930" s="29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</row>
    <row r="931" spans="1:46" ht="13.2" x14ac:dyDescent="0.25">
      <c r="A931" s="29"/>
      <c r="B931" s="29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</row>
    <row r="932" spans="1:46" ht="13.2" x14ac:dyDescent="0.25">
      <c r="A932" s="29"/>
      <c r="B932" s="29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</row>
    <row r="933" spans="1:46" ht="13.2" x14ac:dyDescent="0.25">
      <c r="A933" s="29"/>
      <c r="B933" s="29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</row>
    <row r="934" spans="1:46" ht="13.2" x14ac:dyDescent="0.25">
      <c r="A934" s="29"/>
      <c r="B934" s="29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</row>
    <row r="935" spans="1:46" ht="13.2" x14ac:dyDescent="0.25">
      <c r="A935" s="29"/>
      <c r="B935" s="29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</row>
    <row r="936" spans="1:46" ht="13.2" x14ac:dyDescent="0.25">
      <c r="A936" s="29"/>
      <c r="B936" s="29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</row>
    <row r="937" spans="1:46" ht="13.2" x14ac:dyDescent="0.25">
      <c r="A937" s="29"/>
      <c r="B937" s="29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</row>
    <row r="938" spans="1:46" ht="13.2" x14ac:dyDescent="0.25">
      <c r="A938" s="29"/>
      <c r="B938" s="29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</row>
    <row r="939" spans="1:46" ht="13.2" x14ac:dyDescent="0.25">
      <c r="A939" s="29"/>
      <c r="B939" s="29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</row>
    <row r="940" spans="1:46" ht="13.2" x14ac:dyDescent="0.25">
      <c r="A940" s="29"/>
      <c r="B940" s="29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</row>
    <row r="941" spans="1:46" ht="13.2" x14ac:dyDescent="0.25">
      <c r="A941" s="29"/>
      <c r="B941" s="29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</row>
    <row r="942" spans="1:46" ht="13.2" x14ac:dyDescent="0.25">
      <c r="A942" s="29"/>
      <c r="B942" s="29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</row>
    <row r="943" spans="1:46" ht="13.2" x14ac:dyDescent="0.25">
      <c r="A943" s="29"/>
      <c r="B943" s="29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</row>
    <row r="944" spans="1:46" ht="13.2" x14ac:dyDescent="0.25">
      <c r="A944" s="29"/>
      <c r="B944" s="29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</row>
    <row r="945" spans="1:46" ht="13.2" x14ac:dyDescent="0.25">
      <c r="A945" s="29"/>
      <c r="B945" s="29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</row>
    <row r="946" spans="1:46" ht="13.2" x14ac:dyDescent="0.25">
      <c r="A946" s="29"/>
      <c r="B946" s="29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</row>
    <row r="947" spans="1:46" ht="13.2" x14ac:dyDescent="0.25">
      <c r="A947" s="29"/>
      <c r="B947" s="29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</row>
    <row r="948" spans="1:46" ht="13.2" x14ac:dyDescent="0.25">
      <c r="A948" s="29"/>
      <c r="B948" s="29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</row>
    <row r="949" spans="1:46" ht="13.2" x14ac:dyDescent="0.25">
      <c r="A949" s="29"/>
      <c r="B949" s="29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</row>
    <row r="950" spans="1:46" ht="13.2" x14ac:dyDescent="0.25">
      <c r="A950" s="29"/>
      <c r="B950" s="29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</row>
    <row r="951" spans="1:46" ht="13.2" x14ac:dyDescent="0.25">
      <c r="A951" s="29"/>
      <c r="B951" s="29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</row>
    <row r="952" spans="1:46" ht="13.2" x14ac:dyDescent="0.25">
      <c r="A952" s="29"/>
      <c r="B952" s="29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</row>
    <row r="953" spans="1:46" ht="13.2" x14ac:dyDescent="0.25">
      <c r="A953" s="29"/>
      <c r="B953" s="29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</row>
    <row r="954" spans="1:46" ht="13.2" x14ac:dyDescent="0.25">
      <c r="A954" s="29"/>
      <c r="B954" s="29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</row>
    <row r="955" spans="1:46" ht="13.2" x14ac:dyDescent="0.25">
      <c r="A955" s="29"/>
      <c r="B955" s="29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</row>
    <row r="956" spans="1:46" ht="13.2" x14ac:dyDescent="0.25">
      <c r="A956" s="29"/>
      <c r="B956" s="29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</row>
    <row r="957" spans="1:46" ht="13.2" x14ac:dyDescent="0.25">
      <c r="A957" s="29"/>
      <c r="B957" s="29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</row>
    <row r="958" spans="1:46" ht="13.2" x14ac:dyDescent="0.25">
      <c r="A958" s="29"/>
      <c r="B958" s="29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</row>
    <row r="959" spans="1:46" ht="13.2" x14ac:dyDescent="0.25">
      <c r="A959" s="29"/>
      <c r="B959" s="29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</row>
    <row r="960" spans="1:46" ht="13.2" x14ac:dyDescent="0.25">
      <c r="A960" s="29"/>
      <c r="B960" s="29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</row>
    <row r="961" spans="1:46" ht="13.2" x14ac:dyDescent="0.25">
      <c r="A961" s="29"/>
      <c r="B961" s="29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</row>
    <row r="962" spans="1:46" ht="13.2" x14ac:dyDescent="0.25">
      <c r="A962" s="29"/>
      <c r="B962" s="29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</row>
    <row r="963" spans="1:46" ht="13.2" x14ac:dyDescent="0.25">
      <c r="A963" s="29"/>
      <c r="B963" s="29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</row>
    <row r="964" spans="1:46" ht="13.2" x14ac:dyDescent="0.25">
      <c r="A964" s="29"/>
      <c r="B964" s="29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</row>
    <row r="965" spans="1:46" ht="13.2" x14ac:dyDescent="0.25">
      <c r="A965" s="29"/>
      <c r="B965" s="29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</row>
    <row r="966" spans="1:46" ht="13.2" x14ac:dyDescent="0.25">
      <c r="A966" s="29"/>
      <c r="B966" s="29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</row>
    <row r="967" spans="1:46" ht="13.2" x14ac:dyDescent="0.25">
      <c r="A967" s="29"/>
      <c r="B967" s="29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</row>
    <row r="968" spans="1:46" ht="13.2" x14ac:dyDescent="0.25">
      <c r="A968" s="29"/>
      <c r="B968" s="29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</row>
    <row r="969" spans="1:46" ht="13.2" x14ac:dyDescent="0.25">
      <c r="A969" s="29"/>
      <c r="B969" s="29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</row>
    <row r="970" spans="1:46" ht="13.2" x14ac:dyDescent="0.25">
      <c r="A970" s="29"/>
      <c r="B970" s="29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</row>
    <row r="971" spans="1:46" ht="13.2" x14ac:dyDescent="0.25">
      <c r="A971" s="29"/>
      <c r="B971" s="29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</row>
    <row r="972" spans="1:46" ht="13.2" x14ac:dyDescent="0.25">
      <c r="A972" s="29"/>
      <c r="B972" s="29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</row>
    <row r="973" spans="1:46" ht="13.2" x14ac:dyDescent="0.25">
      <c r="A973" s="29"/>
      <c r="B973" s="29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</row>
    <row r="974" spans="1:46" ht="13.2" x14ac:dyDescent="0.25">
      <c r="A974" s="29"/>
      <c r="B974" s="29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</row>
    <row r="975" spans="1:46" ht="13.2" x14ac:dyDescent="0.25">
      <c r="A975" s="29"/>
      <c r="B975" s="29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</row>
    <row r="976" spans="1:46" ht="13.2" x14ac:dyDescent="0.25">
      <c r="A976" s="29"/>
      <c r="B976" s="29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</row>
    <row r="977" spans="1:46" ht="13.2" x14ac:dyDescent="0.25">
      <c r="A977" s="29"/>
      <c r="B977" s="29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</row>
    <row r="978" spans="1:46" ht="13.2" x14ac:dyDescent="0.25">
      <c r="A978" s="29"/>
      <c r="B978" s="29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</row>
    <row r="979" spans="1:46" ht="13.2" x14ac:dyDescent="0.25">
      <c r="A979" s="29"/>
      <c r="B979" s="29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</row>
    <row r="980" spans="1:46" ht="13.2" x14ac:dyDescent="0.25">
      <c r="A980" s="29"/>
      <c r="B980" s="29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</row>
    <row r="981" spans="1:46" ht="13.2" x14ac:dyDescent="0.25">
      <c r="A981" s="29"/>
      <c r="B981" s="29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</row>
    <row r="982" spans="1:46" ht="13.2" x14ac:dyDescent="0.25">
      <c r="A982" s="29"/>
      <c r="B982" s="29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</row>
    <row r="983" spans="1:46" ht="13.2" x14ac:dyDescent="0.25">
      <c r="A983" s="29"/>
      <c r="B983" s="29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</row>
    <row r="984" spans="1:46" ht="13.2" x14ac:dyDescent="0.25">
      <c r="A984" s="29"/>
      <c r="B984" s="29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</row>
    <row r="985" spans="1:46" ht="13.2" x14ac:dyDescent="0.25">
      <c r="A985" s="29"/>
      <c r="B985" s="29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</row>
    <row r="986" spans="1:46" ht="13.2" x14ac:dyDescent="0.25">
      <c r="A986" s="29"/>
      <c r="B986" s="29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</row>
    <row r="987" spans="1:46" ht="13.2" x14ac:dyDescent="0.25">
      <c r="A987" s="29"/>
      <c r="B987" s="29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</row>
    <row r="988" spans="1:46" ht="13.2" x14ac:dyDescent="0.25">
      <c r="A988" s="29"/>
      <c r="B988" s="29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</row>
    <row r="989" spans="1:46" ht="13.2" x14ac:dyDescent="0.25">
      <c r="A989" s="29"/>
      <c r="B989" s="29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</row>
    <row r="990" spans="1:46" ht="13.2" x14ac:dyDescent="0.25">
      <c r="A990" s="29"/>
      <c r="B990" s="29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</row>
    <row r="991" spans="1:46" ht="13.2" x14ac:dyDescent="0.25">
      <c r="A991" s="29"/>
      <c r="B991" s="29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</row>
    <row r="992" spans="1:46" ht="13.2" x14ac:dyDescent="0.25">
      <c r="A992" s="29"/>
      <c r="B992" s="29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</row>
    <row r="993" spans="1:46" ht="13.2" x14ac:dyDescent="0.25">
      <c r="A993" s="29"/>
      <c r="B993" s="29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</row>
    <row r="994" spans="1:46" ht="13.2" x14ac:dyDescent="0.25">
      <c r="A994" s="29"/>
      <c r="B994" s="29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</row>
    <row r="995" spans="1:46" ht="13.2" x14ac:dyDescent="0.25">
      <c r="A995" s="29"/>
      <c r="B995" s="29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</row>
    <row r="996" spans="1:46" ht="13.2" x14ac:dyDescent="0.25">
      <c r="A996" s="29"/>
      <c r="B996" s="29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</row>
    <row r="997" spans="1:46" ht="13.2" x14ac:dyDescent="0.25">
      <c r="A997" s="29"/>
      <c r="B997" s="29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</row>
    <row r="998" spans="1:46" ht="13.2" x14ac:dyDescent="0.25">
      <c r="A998" s="29"/>
      <c r="B998" s="29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</row>
    <row r="999" spans="1:46" ht="13.2" x14ac:dyDescent="0.25">
      <c r="A999" s="29"/>
      <c r="B999" s="29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</row>
    <row r="1000" spans="1:46" ht="13.2" x14ac:dyDescent="0.25">
      <c r="A1000" s="29"/>
      <c r="B1000" s="29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</row>
  </sheetData>
  <mergeCells count="2">
    <mergeCell ref="A2:A5"/>
    <mergeCell ref="A6:A9"/>
  </mergeCells>
  <conditionalFormatting sqref="C2:C9 Z2:AF9 E2:H19 D2:D47 I2:Y47 E21:H47 C38:C47 AA45:AF47">
    <cfRule type="containsBlanks" dxfId="2" priority="1">
      <formula>LEN(TRIM(C2))=0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U99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26.33203125" customWidth="1"/>
    <col min="2" max="2" width="54.44140625" customWidth="1"/>
    <col min="3" max="3" width="26.77734375" customWidth="1"/>
    <col min="4" max="4" width="14" customWidth="1"/>
    <col min="5" max="5" width="14.109375" customWidth="1"/>
    <col min="6" max="6" width="15.88671875" customWidth="1"/>
    <col min="7" max="7" width="14.88671875" customWidth="1"/>
    <col min="8" max="8" width="14" customWidth="1"/>
    <col min="9" max="9" width="12.6640625" customWidth="1"/>
    <col min="10" max="11" width="14.88671875" customWidth="1"/>
    <col min="12" max="12" width="14" customWidth="1"/>
    <col min="13" max="13" width="12.6640625" customWidth="1"/>
    <col min="14" max="15" width="14" customWidth="1"/>
    <col min="16" max="16" width="14.88671875" customWidth="1"/>
    <col min="17" max="21" width="14" customWidth="1"/>
    <col min="22" max="22" width="14.88671875" customWidth="1"/>
    <col min="23" max="23" width="14" customWidth="1"/>
    <col min="24" max="24" width="12.6640625" customWidth="1"/>
    <col min="25" max="25" width="14.88671875" customWidth="1"/>
    <col min="26" max="26" width="15.77734375" customWidth="1"/>
    <col min="27" max="27" width="17.44140625" customWidth="1"/>
    <col min="28" max="30" width="14" customWidth="1"/>
    <col min="31" max="31" width="14.88671875" customWidth="1"/>
    <col min="32" max="32" width="14.77734375" customWidth="1"/>
    <col min="33" max="33" width="14" customWidth="1"/>
    <col min="34" max="34" width="11.88671875" customWidth="1"/>
    <col min="35" max="47" width="36.33203125" customWidth="1"/>
  </cols>
  <sheetData>
    <row r="1" spans="1:47" ht="15.75" customHeight="1" x14ac:dyDescent="0.25">
      <c r="A1" s="30" t="s">
        <v>84</v>
      </c>
      <c r="B1" s="30" t="s">
        <v>0</v>
      </c>
      <c r="C1" s="31"/>
      <c r="D1" s="31" t="s">
        <v>86</v>
      </c>
      <c r="E1" s="32" t="s">
        <v>87</v>
      </c>
      <c r="F1" s="31" t="s">
        <v>88</v>
      </c>
      <c r="G1" s="31" t="s">
        <v>89</v>
      </c>
      <c r="H1" s="31" t="s">
        <v>90</v>
      </c>
      <c r="I1" s="31" t="s">
        <v>91</v>
      </c>
      <c r="J1" s="31" t="s">
        <v>92</v>
      </c>
      <c r="K1" s="31" t="s">
        <v>169</v>
      </c>
      <c r="L1" s="31" t="s">
        <v>94</v>
      </c>
      <c r="M1" s="31" t="s">
        <v>95</v>
      </c>
      <c r="N1" s="31" t="s">
        <v>96</v>
      </c>
      <c r="O1" s="31" t="s">
        <v>97</v>
      </c>
      <c r="P1" s="31" t="s">
        <v>98</v>
      </c>
      <c r="Q1" s="31" t="s">
        <v>99</v>
      </c>
      <c r="R1" s="31" t="s">
        <v>100</v>
      </c>
      <c r="S1" s="31" t="s">
        <v>101</v>
      </c>
      <c r="T1" s="31" t="s">
        <v>102</v>
      </c>
      <c r="U1" s="31" t="s">
        <v>103</v>
      </c>
      <c r="V1" s="31" t="s">
        <v>104</v>
      </c>
      <c r="W1" s="31" t="s">
        <v>105</v>
      </c>
      <c r="X1" s="31" t="s">
        <v>106</v>
      </c>
      <c r="Y1" s="31" t="s">
        <v>107</v>
      </c>
      <c r="Z1" s="31" t="s">
        <v>108</v>
      </c>
      <c r="AA1" s="30" t="s">
        <v>109</v>
      </c>
      <c r="AB1" s="30" t="s">
        <v>110</v>
      </c>
      <c r="AC1" s="30" t="s">
        <v>111</v>
      </c>
      <c r="AD1" s="30" t="s">
        <v>113</v>
      </c>
      <c r="AE1" s="30" t="s">
        <v>112</v>
      </c>
      <c r="AF1" s="30" t="s">
        <v>114</v>
      </c>
      <c r="AG1" s="30" t="s">
        <v>115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</row>
    <row r="2" spans="1:47" ht="15.75" customHeight="1" x14ac:dyDescent="0.25">
      <c r="A2" s="103" t="s">
        <v>116</v>
      </c>
      <c r="B2" s="33" t="s">
        <v>154</v>
      </c>
      <c r="C2" s="34"/>
      <c r="D2" s="34">
        <f>Raw_Data_Quantitative!D66*(1-Raw_Data_Quantitative!D2/100)</f>
        <v>8.3230000000000004</v>
      </c>
      <c r="E2" s="34">
        <f>Raw_Data_Quantitative!E66*(1-Raw_Data_Quantitative!E2/100)</f>
        <v>0.58500000000000019</v>
      </c>
      <c r="F2" s="34">
        <f>Raw_Data_Quantitative!F66*(1-Raw_Data_Quantitative!F2/100)</f>
        <v>10.374000000000001</v>
      </c>
      <c r="G2" s="34">
        <f>Raw_Data_Quantitative!G66*(1-Raw_Data_Quantitative!G2/100)</f>
        <v>7.5660000000000007</v>
      </c>
      <c r="H2" s="34">
        <f>Raw_Data_Quantitative!H66*(1-Raw_Data_Quantitative!H2/100)</f>
        <v>18.067</v>
      </c>
      <c r="I2" s="34">
        <f>Raw_Data_Quantitative!I66*(1-Raw_Data_Quantitative!I2/100)</f>
        <v>0.9</v>
      </c>
      <c r="J2" s="34">
        <f>Raw_Data_Quantitative!J66*(1-Raw_Data_Quantitative!J2/100)</f>
        <v>11.483999999999998</v>
      </c>
      <c r="K2" s="34">
        <f>Raw_Data_Quantitative!K66*(1-Raw_Data_Quantitative!K2/100)</f>
        <v>85.8005</v>
      </c>
      <c r="L2" s="34">
        <f>Raw_Data_Quantitative!L66*(1-Raw_Data_Quantitative!L2/100)</f>
        <v>73.975999999999999</v>
      </c>
      <c r="M2" s="34">
        <f>Raw_Data_Quantitative!M66*(1-Raw_Data_Quantitative!M2/100)</f>
        <v>0.73639999999999994</v>
      </c>
      <c r="N2" s="34">
        <f>Raw_Data_Quantitative!N66*(1-Raw_Data_Quantitative!N2/100)</f>
        <v>3.7839999999999994</v>
      </c>
      <c r="O2" s="34">
        <f>Raw_Data_Quantitative!O66*(1-Raw_Data_Quantitative!O2/100)</f>
        <v>6.9559999999999995</v>
      </c>
      <c r="P2" s="34">
        <f>Raw_Data_Quantitative!P66*(1-Raw_Data_Quantitative!P2/100)</f>
        <v>14.1</v>
      </c>
      <c r="Q2" s="34">
        <f>Raw_Data_Quantitative!Q66*(1-Raw_Data_Quantitative!Q2/100)</f>
        <v>1.081</v>
      </c>
      <c r="R2" s="34">
        <f>Raw_Data_Quantitative!R66*(1-Raw_Data_Quantitative!R2/100)</f>
        <v>3.7688000000000001</v>
      </c>
      <c r="S2" s="34">
        <f>Raw_Data_Quantitative!S66*(1-Raw_Data_Quantitative!S2/100)</f>
        <v>20.48</v>
      </c>
      <c r="T2" s="34">
        <f>Raw_Data_Quantitative!T66*(1-Raw_Data_Quantitative!T2/100)</f>
        <v>16.079699999999999</v>
      </c>
      <c r="U2" s="34">
        <f>Raw_Data_Quantitative!U66*(1-Raw_Data_Quantitative!U2/100)</f>
        <v>2.34</v>
      </c>
      <c r="V2" s="34">
        <f>Raw_Data_Quantitative!V66*(1-Raw_Data_Quantitative!V2/100)</f>
        <v>13.805400000000001</v>
      </c>
      <c r="W2" s="34">
        <f>Raw_Data_Quantitative!W66*(1-Raw_Data_Quantitative!W2/100)</f>
        <v>1.2150000000000001</v>
      </c>
      <c r="X2" s="34">
        <f>Raw_Data_Quantitative!X66*(1-Raw_Data_Quantitative!X2/100)</f>
        <v>21.373200000000001</v>
      </c>
      <c r="Y2" s="34">
        <f>Raw_Data_Quantitative!Y66*(1-Raw_Data_Quantitative!Y2/100)</f>
        <v>90.753</v>
      </c>
      <c r="Z2" s="34">
        <f>Raw_Data_Quantitative!Z66*(1-Raw_Data_Quantitative!Z2/100)</f>
        <v>4.3054199999999998</v>
      </c>
      <c r="AA2" s="34">
        <f>Raw_Data_Quantitative!AA66*(1-Raw_Data_Quantitative!AA2/100)</f>
        <v>3.2000000000000008E-2</v>
      </c>
      <c r="AB2" s="34">
        <f>Raw_Data_Quantitative!AB66*(1-Raw_Data_Quantitative!AB2/100)</f>
        <v>2.9600000000000004</v>
      </c>
      <c r="AC2" s="34">
        <f>Raw_Data_Quantitative!AC66*(1-Raw_Data_Quantitative!AC2/100)</f>
        <v>5.5039999999999996</v>
      </c>
      <c r="AD2" s="34">
        <f>Raw_Data_Quantitative!AD66*(1-Raw_Data_Quantitative!AD2/100)</f>
        <v>2.8500000000000005</v>
      </c>
      <c r="AE2" s="34">
        <f>Raw_Data_Quantitative!AE66*(1-Raw_Data_Quantitative!AE2/100)</f>
        <v>14.817599999999997</v>
      </c>
      <c r="AF2" s="34">
        <f>Raw_Data_Quantitative!AF66*(1-Raw_Data_Quantitative!AF2/100)</f>
        <v>9.8832000000000004</v>
      </c>
      <c r="AG2" s="34">
        <f>Raw_Data_Quantitative!AG66*(1-Raw_Data_Quantitative!AG2/100)</f>
        <v>6.3080000000000007</v>
      </c>
      <c r="AH2" s="31">
        <f t="shared" ref="AH2:AH9" si="0">SUM(D2:AG2)</f>
        <v>460.20821999999993</v>
      </c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</row>
    <row r="3" spans="1:47" ht="15.75" customHeight="1" x14ac:dyDescent="0.25">
      <c r="A3" s="102"/>
      <c r="B3" s="33" t="s">
        <v>155</v>
      </c>
      <c r="C3" s="35"/>
      <c r="D3" s="35">
        <f>IF(Raw_Data_Quantitative!D5 = 0, D2, Raw_Data_Quantitative!D67*(1-Raw_Data_Quantitative!D5/100))</f>
        <v>4.9856466000000008</v>
      </c>
      <c r="E3" s="35">
        <f>IF(Raw_Data_Quantitative!E5 = 0, E2, Raw_Data_Quantitative!E67*(1-Raw_Data_Quantitative!E5/100))</f>
        <v>0</v>
      </c>
      <c r="F3" s="35">
        <f>IF(Raw_Data_Quantitative!F5 = 0, F2, Raw_Data_Quantitative!F67*(1-Raw_Data_Quantitative!F5/100))</f>
        <v>4.8546049500000006</v>
      </c>
      <c r="G3" s="35">
        <f>IF(Raw_Data_Quantitative!G5 = 0, G2, Raw_Data_Quantitative!G67*(1-Raw_Data_Quantitative!G5/100))</f>
        <v>0</v>
      </c>
      <c r="H3" s="35">
        <f>IF(Raw_Data_Quantitative!H5 = 0, H2, Raw_Data_Quantitative!H67*(1-Raw_Data_Quantitative!H5/100))</f>
        <v>2.4207478999999994</v>
      </c>
      <c r="I3" s="35">
        <f>IF(Raw_Data_Quantitative!I5 = 0, I2, Raw_Data_Quantitative!I67*(1-Raw_Data_Quantitative!I5/100))</f>
        <v>0</v>
      </c>
      <c r="J3" s="35">
        <f>IF(Raw_Data_Quantitative!J5 = 0, J2, Raw_Data_Quantitative!J67*(1-Raw_Data_Quantitative!J5/100))</f>
        <v>0</v>
      </c>
      <c r="K3" s="35">
        <f>IF(Raw_Data_Quantitative!K5 = 0, K2, Raw_Data_Quantitative!K67*(1-Raw_Data_Quantitative!K5/100))</f>
        <v>49.982236379999996</v>
      </c>
      <c r="L3" s="35">
        <f>IF(Raw_Data_Quantitative!L5 = 0, L2, Raw_Data_Quantitative!L67*(1-Raw_Data_Quantitative!L5/100))</f>
        <v>38.213839249999999</v>
      </c>
      <c r="M3" s="35">
        <f>IF(Raw_Data_Quantitative!M5 = 0, M2, Raw_Data_Quantitative!M67*(1-Raw_Data_Quantitative!M5/100))</f>
        <v>0</v>
      </c>
      <c r="N3" s="35">
        <f>IF(Raw_Data_Quantitative!N5 = 0, N2, Raw_Data_Quantitative!N67*(1-Raw_Data_Quantitative!N5/100))</f>
        <v>7.6444178000000057E-2</v>
      </c>
      <c r="O3" s="35">
        <f>IF(Raw_Data_Quantitative!O5 = 0, O2, Raw_Data_Quantitative!O67*(1-Raw_Data_Quantitative!O5/100))</f>
        <v>0</v>
      </c>
      <c r="P3" s="35">
        <f>IF(Raw_Data_Quantitative!P5 = 0, P2, Raw_Data_Quantitative!P67*(1-Raw_Data_Quantitative!P5/100))</f>
        <v>0</v>
      </c>
      <c r="Q3" s="35">
        <f>IF(Raw_Data_Quantitative!Q5 = 0, Q2, Raw_Data_Quantitative!Q67*(1-Raw_Data_Quantitative!Q5/100))</f>
        <v>0</v>
      </c>
      <c r="R3" s="35">
        <f>IF(Raw_Data_Quantitative!R5 = 0, R2, Raw_Data_Quantitative!R67*(1-Raw_Data_Quantitative!R5/100))</f>
        <v>1.5915727500000001</v>
      </c>
      <c r="S3" s="35">
        <f>IF(Raw_Data_Quantitative!S5 = 0, S2, Raw_Data_Quantitative!S67*(1-Raw_Data_Quantitative!S5/100))</f>
        <v>7.3386365999999983</v>
      </c>
      <c r="T3" s="35">
        <f>IF(Raw_Data_Quantitative!T5 = 0, T2, Raw_Data_Quantitative!T67*(1-Raw_Data_Quantitative!T5/100))</f>
        <v>7.5480862500000008</v>
      </c>
      <c r="U3" s="35">
        <f>IF(Raw_Data_Quantitative!U5 = 0, U2, Raw_Data_Quantitative!U67*(1-Raw_Data_Quantitative!U5/100))</f>
        <v>0</v>
      </c>
      <c r="V3" s="35">
        <f>IF(Raw_Data_Quantitative!V5 = 0, V2, Raw_Data_Quantitative!V67*(1-Raw_Data_Quantitative!V5/100))</f>
        <v>0</v>
      </c>
      <c r="W3" s="35">
        <f>IF(Raw_Data_Quantitative!W5 = 0, W2, Raw_Data_Quantitative!W67*(1-Raw_Data_Quantitative!W5/100))</f>
        <v>1.0169874000000001</v>
      </c>
      <c r="X3" s="35">
        <f>IF(Raw_Data_Quantitative!X5 = 0, X2, Raw_Data_Quantitative!X67*(1-Raw_Data_Quantitative!X5/100))</f>
        <v>13.007230000000002</v>
      </c>
      <c r="Y3" s="35">
        <f>IF(Raw_Data_Quantitative!Y5 = 0, Y2, Raw_Data_Quantitative!Y67*(1-Raw_Data_Quantitative!Y5/100))</f>
        <v>0</v>
      </c>
      <c r="Z3" s="35">
        <f>IF(Raw_Data_Quantitative!Z5 = 0, Z2, Raw_Data_Quantitative!Z67*(1-Raw_Data_Quantitative!Z5/100))</f>
        <v>1.3617838355000005</v>
      </c>
      <c r="AA3" s="35">
        <f>IF(Raw_Data_Quantitative!AA5 = 0, AA2, Raw_Data_Quantitative!AA67*(1-Raw_Data_Quantitative!AA5/100))</f>
        <v>0</v>
      </c>
      <c r="AB3" s="35">
        <f>IF(Raw_Data_Quantitative!AB5 = 0, AB2, Raw_Data_Quantitative!AB67*(1-Raw_Data_Quantitative!AB5/100))</f>
        <v>0</v>
      </c>
      <c r="AC3" s="35">
        <f>IF(Raw_Data_Quantitative!AC5 = 0, AC2, Raw_Data_Quantitative!AC67*(1-Raw_Data_Quantitative!AC5/100))</f>
        <v>2.1328687599999996</v>
      </c>
      <c r="AD3" s="35">
        <f>IF(Raw_Data_Quantitative!AD5 = 0, AD2, Raw_Data_Quantitative!AD67*(1-Raw_Data_Quantitative!AD5/100))</f>
        <v>0</v>
      </c>
      <c r="AE3" s="35">
        <f>IF(Raw_Data_Quantitative!AE5 = 0, AE2, Raw_Data_Quantitative!AE67*(1-Raw_Data_Quantitative!AE5/100))</f>
        <v>0</v>
      </c>
      <c r="AF3" s="35">
        <f>IF(Raw_Data_Quantitative!AF5 = 0, AF2, Raw_Data_Quantitative!AF67*(1-Raw_Data_Quantitative!AF5/100))</f>
        <v>0</v>
      </c>
      <c r="AG3" s="35">
        <f>IF(Raw_Data_Quantitative!AG5 = 0, AG2, Raw_Data_Quantitative!AG67*(1-Raw_Data_Quantitative!AG5/100))</f>
        <v>0</v>
      </c>
      <c r="AH3" s="31">
        <f t="shared" si="0"/>
        <v>134.53068485350002</v>
      </c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</row>
    <row r="4" spans="1:47" ht="15.75" customHeight="1" x14ac:dyDescent="0.25">
      <c r="A4" s="102"/>
      <c r="B4" s="9" t="s">
        <v>156</v>
      </c>
      <c r="C4" s="45"/>
      <c r="D4" s="45">
        <f t="shared" ref="D4:AG4" si="1">D2-D3</f>
        <v>3.3373533999999996</v>
      </c>
      <c r="E4" s="45">
        <f t="shared" si="1"/>
        <v>0.58500000000000019</v>
      </c>
      <c r="F4" s="45">
        <f t="shared" si="1"/>
        <v>5.51939505</v>
      </c>
      <c r="G4" s="45">
        <f t="shared" si="1"/>
        <v>7.5660000000000007</v>
      </c>
      <c r="H4" s="45">
        <f t="shared" si="1"/>
        <v>15.646252100000002</v>
      </c>
      <c r="I4" s="45">
        <f t="shared" si="1"/>
        <v>0.9</v>
      </c>
      <c r="J4" s="45">
        <f t="shared" si="1"/>
        <v>11.483999999999998</v>
      </c>
      <c r="K4" s="45">
        <f t="shared" si="1"/>
        <v>35.818263620000003</v>
      </c>
      <c r="L4" s="45">
        <f t="shared" si="1"/>
        <v>35.76216075</v>
      </c>
      <c r="M4" s="45">
        <f t="shared" si="1"/>
        <v>0.73639999999999994</v>
      </c>
      <c r="N4" s="45">
        <f t="shared" si="1"/>
        <v>3.7075558219999993</v>
      </c>
      <c r="O4" s="45">
        <f t="shared" si="1"/>
        <v>6.9559999999999995</v>
      </c>
      <c r="P4" s="45">
        <f t="shared" si="1"/>
        <v>14.1</v>
      </c>
      <c r="Q4" s="45">
        <f t="shared" si="1"/>
        <v>1.081</v>
      </c>
      <c r="R4" s="45">
        <f t="shared" si="1"/>
        <v>2.1772272500000001</v>
      </c>
      <c r="S4" s="45">
        <f t="shared" si="1"/>
        <v>13.141363400000003</v>
      </c>
      <c r="T4" s="45">
        <f t="shared" si="1"/>
        <v>8.5316137499999982</v>
      </c>
      <c r="U4" s="45">
        <f t="shared" si="1"/>
        <v>2.34</v>
      </c>
      <c r="V4" s="45">
        <f t="shared" si="1"/>
        <v>13.805400000000001</v>
      </c>
      <c r="W4" s="45">
        <f t="shared" si="1"/>
        <v>0.19801259999999998</v>
      </c>
      <c r="X4" s="45">
        <f t="shared" si="1"/>
        <v>8.365969999999999</v>
      </c>
      <c r="Y4" s="45">
        <f t="shared" si="1"/>
        <v>90.753</v>
      </c>
      <c r="Z4" s="45">
        <f t="shared" si="1"/>
        <v>2.9436361644999991</v>
      </c>
      <c r="AA4" s="45">
        <f t="shared" si="1"/>
        <v>3.2000000000000008E-2</v>
      </c>
      <c r="AB4" s="45">
        <f t="shared" si="1"/>
        <v>2.9600000000000004</v>
      </c>
      <c r="AC4" s="45">
        <f t="shared" si="1"/>
        <v>3.37113124</v>
      </c>
      <c r="AD4" s="45">
        <f t="shared" si="1"/>
        <v>2.8500000000000005</v>
      </c>
      <c r="AE4" s="45">
        <f t="shared" si="1"/>
        <v>14.817599999999997</v>
      </c>
      <c r="AF4" s="45">
        <f t="shared" si="1"/>
        <v>9.8832000000000004</v>
      </c>
      <c r="AG4" s="45">
        <f t="shared" si="1"/>
        <v>6.3080000000000007</v>
      </c>
      <c r="AH4" s="36">
        <f t="shared" si="0"/>
        <v>325.67753514649991</v>
      </c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ht="15.75" customHeight="1" x14ac:dyDescent="0.25">
      <c r="A5" s="102"/>
      <c r="B5" s="9" t="s">
        <v>157</v>
      </c>
      <c r="C5" s="51"/>
      <c r="D5" s="51">
        <f>(Raw_Data_Quantitative!D67*(Raw_Data_Quantitative!D5/100))-(Raw_Data_Quantitative!D66*(Raw_Data_Quantitative!D2/100))</f>
        <v>5.4561754000000011</v>
      </c>
      <c r="E5" s="51">
        <f>(Raw_Data_Quantitative!E67*(Raw_Data_Quantitative!E5/100))-(Raw_Data_Quantitative!E66*(Raw_Data_Quantitative!E2/100))</f>
        <v>0.85091750000000022</v>
      </c>
      <c r="F5" s="51">
        <f>(Raw_Data_Quantitative!F67*(Raw_Data_Quantitative!F5/100))-(Raw_Data_Quantitative!F66*(Raw_Data_Quantitative!F2/100))</f>
        <v>7.7014115499999987</v>
      </c>
      <c r="G5" s="51">
        <f>(Raw_Data_Quantitative!G67*(Raw_Data_Quantitative!G5/100))-(Raw_Data_Quantitative!G66*(Raw_Data_Quantitative!G2/100))</f>
        <v>12.243189499999996</v>
      </c>
      <c r="H5" s="51">
        <f>(Raw_Data_Quantitative!H67*(Raw_Data_Quantitative!H5/100))-(Raw_Data_Quantitative!H66*(Raw_Data_Quantitative!H2/100))</f>
        <v>19.5537311</v>
      </c>
      <c r="I5" s="51">
        <f>(Raw_Data_Quantitative!I67*(Raw_Data_Quantitative!I5/100))-(Raw_Data_Quantitative!I66*(Raw_Data_Quantitative!I2/100))</f>
        <v>0.96426449999999997</v>
      </c>
      <c r="J5" s="51">
        <f>(Raw_Data_Quantitative!J67*(Raw_Data_Quantitative!J5/100))-(Raw_Data_Quantitative!J66*(Raw_Data_Quantitative!J2/100))</f>
        <v>16.283008999999996</v>
      </c>
      <c r="K5" s="51">
        <f>(Raw_Data_Quantitative!K67*(Raw_Data_Quantitative!K5/100))-(Raw_Data_Quantitative!K66*(Raw_Data_Quantitative!K2/100))</f>
        <v>58.05046462</v>
      </c>
      <c r="L5" s="51">
        <f>(Raw_Data_Quantitative!L67*(Raw_Data_Quantitative!L5/100))-(Raw_Data_Quantitative!L66*(Raw_Data_Quantitative!L2/100))</f>
        <v>56.517517749999996</v>
      </c>
      <c r="M5" s="51">
        <f>(Raw_Data_Quantitative!M67*(Raw_Data_Quantitative!M5/100))-(Raw_Data_Quantitative!M66*(Raw_Data_Quantitative!M2/100))</f>
        <v>1.0665335000000002</v>
      </c>
      <c r="N5" s="51">
        <f>(Raw_Data_Quantitative!N67*(Raw_Data_Quantitative!N5/100))-(Raw_Data_Quantitative!N66*(Raw_Data_Quantitative!N2/100))</f>
        <v>7.5296448219999945</v>
      </c>
      <c r="O5" s="51">
        <f>(Raw_Data_Quantitative!O67*(Raw_Data_Quantitative!O5/100))-(Raw_Data_Quantitative!O66*(Raw_Data_Quantitative!O2/100))</f>
        <v>8.9631469999999993</v>
      </c>
      <c r="P5" s="51">
        <f>(Raw_Data_Quantitative!P67*(Raw_Data_Quantitative!P5/100))-(Raw_Data_Quantitative!P66*(Raw_Data_Quantitative!P2/100))</f>
        <v>20.802245500000005</v>
      </c>
      <c r="Q5" s="51">
        <f>(Raw_Data_Quantitative!Q67*(Raw_Data_Quantitative!Q5/100))-(Raw_Data_Quantitative!Q66*(Raw_Data_Quantitative!Q2/100))</f>
        <v>1.2748185000000003</v>
      </c>
      <c r="R5" s="51">
        <f>(Raw_Data_Quantitative!R67*(Raw_Data_Quantitative!R5/100))-(Raw_Data_Quantitative!R66*(Raw_Data_Quantitative!R2/100))</f>
        <v>2.9435182500000003</v>
      </c>
      <c r="S5" s="51">
        <f>(Raw_Data_Quantitative!S67*(Raw_Data_Quantitative!S5/100))-(Raw_Data_Quantitative!S66*(Raw_Data_Quantitative!S2/100))</f>
        <v>17.834546400000001</v>
      </c>
      <c r="T5" s="51">
        <f>(Raw_Data_Quantitative!T67*(Raw_Data_Quantitative!T5/100))-(Raw_Data_Quantitative!T66*(Raw_Data_Quantitative!T2/100))</f>
        <v>11.991901249999998</v>
      </c>
      <c r="U5" s="51">
        <f>(Raw_Data_Quantitative!U67*(Raw_Data_Quantitative!U5/100))-(Raw_Data_Quantitative!U66*(Raw_Data_Quantitative!U2/100))</f>
        <v>3.202528</v>
      </c>
      <c r="V5" s="51">
        <f>(Raw_Data_Quantitative!V67*(Raw_Data_Quantitative!V5/100))-(Raw_Data_Quantitative!V66*(Raw_Data_Quantitative!V2/100))</f>
        <v>20.052154500000004</v>
      </c>
      <c r="W5" s="51">
        <f>(Raw_Data_Quantitative!W67*(Raw_Data_Quantitative!W5/100))-(Raw_Data_Quantitative!W66*(Raw_Data_Quantitative!W2/100))</f>
        <v>0.58797060000000001</v>
      </c>
      <c r="X5" s="51">
        <f>(Raw_Data_Quantitative!X67*(Raw_Data_Quantitative!X5/100))-(Raw_Data_Quantitative!X66*(Raw_Data_Quantitative!X2/100))</f>
        <v>13.884045</v>
      </c>
      <c r="Y5" s="51">
        <f>(Raw_Data_Quantitative!Y67*(Raw_Data_Quantitative!Y5/100))-(Raw_Data_Quantitative!Y66*(Raw_Data_Quantitative!Y2/100))</f>
        <v>120.43396949999999</v>
      </c>
      <c r="Z5" s="51">
        <f>(Raw_Data_Quantitative!Z67*(Raw_Data_Quantitative!Z5/100))-(Raw_Data_Quantitative!Z66*(Raw_Data_Quantitative!Z2/100))</f>
        <v>3.9259026644999997</v>
      </c>
      <c r="AA5" s="51">
        <f>(Raw_Data_Quantitative!AA67*(Raw_Data_Quantitative!AA5/100))-(Raw_Data_Quantitative!AA66*(Raw_Data_Quantitative!AA2/100))</f>
        <v>9.656449999999997E-2</v>
      </c>
      <c r="AB5" s="51">
        <f>(Raw_Data_Quantitative!AB67*(Raw_Data_Quantitative!AB5/100))-(Raw_Data_Quantitative!AB66*(Raw_Data_Quantitative!AB2/100))</f>
        <v>5.6231915000000008</v>
      </c>
      <c r="AC5" s="51">
        <f>(Raw_Data_Quantitative!AC67*(Raw_Data_Quantitative!AC5/100))-(Raw_Data_Quantitative!AC66*(Raw_Data_Quantitative!AC2/100))</f>
        <v>4.4659892400000007</v>
      </c>
      <c r="AD5" s="51">
        <f>(Raw_Data_Quantitative!AD67*(Raw_Data_Quantitative!AD5/100))-(Raw_Data_Quantitative!AD66*(Raw_Data_Quantitative!AD2/100))</f>
        <v>4.1429970000000003</v>
      </c>
      <c r="AE5" s="51">
        <f>(Raw_Data_Quantitative!AE67*(Raw_Data_Quantitative!AE5/100))-(Raw_Data_Quantitative!AE66*(Raw_Data_Quantitative!AE2/100))</f>
        <v>27.130724000000001</v>
      </c>
      <c r="AF5" s="51">
        <f>(Raw_Data_Quantitative!AF67*(Raw_Data_Quantitative!AF5/100))-(Raw_Data_Quantitative!AF66*(Raw_Data_Quantitative!AF2/100))</f>
        <v>13.608101</v>
      </c>
      <c r="AG5" s="51">
        <f>(Raw_Data_Quantitative!AG67*(Raw_Data_Quantitative!AG5/100))-(Raw_Data_Quantitative!AG66*(Raw_Data_Quantitative!AG2/100))</f>
        <v>8.318348499999999</v>
      </c>
      <c r="AH5" s="36">
        <f t="shared" si="0"/>
        <v>475.49952214649994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ht="15.75" customHeight="1" x14ac:dyDescent="0.25">
      <c r="A6" s="104" t="s">
        <v>170</v>
      </c>
      <c r="B6" s="37" t="s">
        <v>159</v>
      </c>
      <c r="C6" s="45"/>
      <c r="D6" s="45">
        <f>Raw_Data_Quantitative!D66*(1-Raw_Data_Quantitative!D50/100)</f>
        <v>12.977500000000001</v>
      </c>
      <c r="E6" s="45">
        <f>Raw_Data_Quantitative!E66*(1-Raw_Data_Quantitative!E50/100)</f>
        <v>0.83500000000000019</v>
      </c>
      <c r="F6" s="45">
        <f>Raw_Data_Quantitative!F66*(1-Raw_Data_Quantitative!F50/100)</f>
        <v>14</v>
      </c>
      <c r="G6" s="45">
        <f>Raw_Data_Quantitative!G66*(1-Raw_Data_Quantitative!G50/100)</f>
        <v>22.290600000000001</v>
      </c>
      <c r="H6" s="45">
        <f>Raw_Data_Quantitative!H66*(1-Raw_Data_Quantitative!H50/100)</f>
        <v>20.3</v>
      </c>
      <c r="I6" s="45">
        <f>Raw_Data_Quantitative!I66*(1-Raw_Data_Quantitative!I50/100)</f>
        <v>0.89549999999999996</v>
      </c>
      <c r="J6" s="45">
        <f>Raw_Data_Quantitative!J66*(1-Raw_Data_Quantitative!J50/100)</f>
        <v>25.52</v>
      </c>
      <c r="K6" s="45">
        <f>Raw_Data_Quantitative!K66*(1-Raw_Data_Quantitative!K50/100)</f>
        <v>103.83499999999999</v>
      </c>
      <c r="L6" s="45">
        <f>Raw_Data_Quantitative!L66*(1-Raw_Data_Quantitative!L50/100)</f>
        <v>121.532</v>
      </c>
      <c r="M6" s="45">
        <f>Raw_Data_Quantitative!M66*(1-Raw_Data_Quantitative!M50/100)</f>
        <v>2.0999999999999996</v>
      </c>
      <c r="N6" s="45">
        <f>Raw_Data_Quantitative!N66*(1-Raw_Data_Quantitative!N50/100)</f>
        <v>21.706399999999999</v>
      </c>
      <c r="O6" s="45">
        <f>Raw_Data_Quantitative!O66*(1-Raw_Data_Quantitative!O50/100)</f>
        <v>13.024000000000001</v>
      </c>
      <c r="P6" s="45">
        <f>Raw_Data_Quantitative!P66*(1-Raw_Data_Quantitative!P50/100)</f>
        <v>36.998400000000004</v>
      </c>
      <c r="Q6" s="45">
        <f>Raw_Data_Quantitative!Q66*(1-Raw_Data_Quantitative!Q50/100)</f>
        <v>1.2604</v>
      </c>
      <c r="R6" s="45">
        <f>Raw_Data_Quantitative!R66*(1-Raw_Data_Quantitative!R50/100)</f>
        <v>5.5551999999999992</v>
      </c>
      <c r="S6" s="45">
        <f>Raw_Data_Quantitative!S66*(1-Raw_Data_Quantitative!S50/100)</f>
        <v>27.52</v>
      </c>
      <c r="T6" s="45">
        <f>Raw_Data_Quantitative!T66*(1-Raw_Data_Quantitative!T50/100)</f>
        <v>16.383499999999998</v>
      </c>
      <c r="U6" s="45">
        <f>Raw_Data_Quantitative!U66*(1-Raw_Data_Quantitative!U50/100)</f>
        <v>2.3919999999999999</v>
      </c>
      <c r="V6" s="45">
        <f>Raw_Data_Quantitative!V66*(1-Raw_Data_Quantitative!V50/100)</f>
        <v>28.718</v>
      </c>
      <c r="W6" s="45">
        <f>Raw_Data_Quantitative!W66*(1-Raw_Data_Quantitative!W50/100)</f>
        <v>1.5449999999999999</v>
      </c>
      <c r="X6" s="45">
        <f>Raw_Data_Quantitative!X66*(1-Raw_Data_Quantitative!X50/100)</f>
        <v>25.38</v>
      </c>
      <c r="Y6" s="45">
        <f>Raw_Data_Quantitative!Y66*(1-Raw_Data_Quantitative!Y50/100)</f>
        <v>172.19799999999998</v>
      </c>
      <c r="Z6" s="45">
        <f>Raw_Data_Quantitative!Z66*(1-Raw_Data_Quantitative!Z50/100)</f>
        <v>3.8051999999999997</v>
      </c>
      <c r="AA6" s="45">
        <f>Raw_Data_Quantitative!AA66*(1-Raw_Data_Quantitative!AA50/100)</f>
        <v>7.6000000000000012E-2</v>
      </c>
      <c r="AB6" s="45">
        <f>Raw_Data_Quantitative!AB66*(1-Raw_Data_Quantitative!AB50/100)</f>
        <v>18.5</v>
      </c>
      <c r="AC6" s="45">
        <f>Raw_Data_Quantitative!AC66*(1-Raw_Data_Quantitative!AC50/100)</f>
        <v>8.4710000000000001</v>
      </c>
      <c r="AD6" s="45">
        <f>Raw_Data_Quantitative!AD66*(1-Raw_Data_Quantitative!AD50/100)</f>
        <v>8.17</v>
      </c>
      <c r="AE6" s="45">
        <f>Raw_Data_Quantitative!AE66*(1-Raw_Data_Quantitative!AE50/100)</f>
        <v>63.866599999999998</v>
      </c>
      <c r="AF6" s="45">
        <f>Raw_Data_Quantitative!AF66*(1-Raw_Data_Quantitative!AF50/100)</f>
        <v>19.404300000000003</v>
      </c>
      <c r="AG6" s="45">
        <f>Raw_Data_Quantitative!AG66*(1-Raw_Data_Quantitative!AG50/100)</f>
        <v>10.192400000000001</v>
      </c>
      <c r="AH6" s="52">
        <f t="shared" si="0"/>
        <v>809.452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ht="15.75" customHeight="1" x14ac:dyDescent="0.25">
      <c r="A7" s="102"/>
      <c r="B7" s="37" t="s">
        <v>160</v>
      </c>
      <c r="C7" s="51"/>
      <c r="D7" s="51">
        <f>IF(Raw_Data_Quantitative!D58=0,D6,Raw_Data_Quantitative!D67*(1-Raw_Data_Quantitative!D58/100))</f>
        <v>8.3094110000000008</v>
      </c>
      <c r="E7" s="51">
        <f>IF(Raw_Data_Quantitative!E58=0,E6,Raw_Data_Quantitative!E67*(1-Raw_Data_Quantitative!E58/100))</f>
        <v>0.27659174999999991</v>
      </c>
      <c r="F7" s="51">
        <f>IF(Raw_Data_Quantitative!F58=0,F6,Raw_Data_Quantitative!F67*(1-Raw_Data_Quantitative!F58/100))</f>
        <v>9.7092098999999994</v>
      </c>
      <c r="G7" s="51">
        <f>IF(Raw_Data_Quantitative!G58=0,G6,Raw_Data_Quantitative!G67*(1-Raw_Data_Quantitative!G58/100))</f>
        <v>20.266313699999998</v>
      </c>
      <c r="H7" s="51">
        <f>IF(Raw_Data_Quantitative!H58=0,H6,Raw_Data_Quantitative!H67*(1-Raw_Data_Quantitative!H58/100))</f>
        <v>13.07203866</v>
      </c>
      <c r="I7" s="51">
        <f>IF(Raw_Data_Quantitative!I58=0,I6,Raw_Data_Quantitative!I67*(1-Raw_Data_Quantitative!I58/100))</f>
        <v>0.67498514999999992</v>
      </c>
      <c r="J7" s="51">
        <f>IF(Raw_Data_Quantitative!J58=0,J6,Raw_Data_Quantitative!J67*(1-Raw_Data_Quantitative!J58/100))</f>
        <v>18.349504499999998</v>
      </c>
      <c r="K7" s="51">
        <f>IF(Raw_Data_Quantitative!K58=0,K6,Raw_Data_Quantitative!K67*(1-Raw_Data_Quantitative!K58/100))</f>
        <v>92.07254069999999</v>
      </c>
      <c r="L7" s="51">
        <f>IF(Raw_Data_Quantitative!L58=0,L6,Raw_Data_Quantitative!L67*(1-Raw_Data_Quantitative!L58/100))</f>
        <v>64.5966738682</v>
      </c>
      <c r="M7" s="51">
        <f>IF(Raw_Data_Quantitative!M58=0,M6,Raw_Data_Quantitative!M67*(1-Raw_Data_Quantitative!M58/100))</f>
        <v>1.56506675</v>
      </c>
      <c r="N7" s="51">
        <f>IF(Raw_Data_Quantitative!N58=0,N6,Raw_Data_Quantitative!N67*(1-Raw_Data_Quantitative!N58/100))</f>
        <v>19.111044499999998</v>
      </c>
      <c r="O7" s="51">
        <f>IF(Raw_Data_Quantitative!O58=0,O6,Raw_Data_Quantitative!O67*(1-Raw_Data_Quantitative!O58/100))</f>
        <v>10.924645550000001</v>
      </c>
      <c r="P7" s="51">
        <f>IF(Raw_Data_Quantitative!P58=0,P6,Raw_Data_Quantitative!P67*(1-Raw_Data_Quantitative!P58/100))</f>
        <v>0</v>
      </c>
      <c r="Q7" s="51">
        <f>IF(Raw_Data_Quantitative!Q58=0,Q6,Raw_Data_Quantitative!Q67*(1-Raw_Data_Quantitative!Q58/100))</f>
        <v>0.62345462500000004</v>
      </c>
      <c r="R7" s="51">
        <f>IF(Raw_Data_Quantitative!R58=0,R6,Raw_Data_Quantitative!R67*(1-Raw_Data_Quantitative!R58/100))</f>
        <v>5.5551999999999992</v>
      </c>
      <c r="S7" s="51">
        <f>IF(Raw_Data_Quantitative!S58=0,S6,Raw_Data_Quantitative!S67*(1-Raw_Data_Quantitative!S58/100))</f>
        <v>18.346591499999999</v>
      </c>
      <c r="T7" s="51">
        <f>IF(Raw_Data_Quantitative!T58=0,T6,Raw_Data_Quantitative!T67*(1-Raw_Data_Quantitative!T58/100))</f>
        <v>6.2900718749999998</v>
      </c>
      <c r="U7" s="51">
        <f>IF(Raw_Data_Quantitative!U58=0,U6,Raw_Data_Quantitative!U67*(1-Raw_Data_Quantitative!U58/100))</f>
        <v>2.3919999999999999</v>
      </c>
      <c r="V7" s="51">
        <f>IF(Raw_Data_Quantitative!V58=0,V6,Raw_Data_Quantitative!V67*(1-Raw_Data_Quantitative!V58/100))</f>
        <v>18.789507069999999</v>
      </c>
      <c r="W7" s="51">
        <f>IF(Raw_Data_Quantitative!W58=0,W6,Raw_Data_Quantitative!W67*(1-Raw_Data_Quantitative!W58/100))</f>
        <v>1.3220836200000001</v>
      </c>
      <c r="X7" s="51">
        <f>IF(Raw_Data_Quantitative!X58=0,X6,Raw_Data_Quantitative!X67*(1-Raw_Data_Quantitative!X58/100))</f>
        <v>28.615906000000003</v>
      </c>
      <c r="Y7" s="51">
        <f>IF(Raw_Data_Quantitative!Y58=0,Y6,Raw_Data_Quantitative!Y67*(1-Raw_Data_Quantitative!Y58/100))</f>
        <v>0</v>
      </c>
      <c r="Z7" s="51">
        <f>IF(Raw_Data_Quantitative!Z58=0,Z6,Raw_Data_Quantitative!Z67*(1-Raw_Data_Quantitative!Z58/100))</f>
        <v>1.3617838355000005</v>
      </c>
      <c r="AA7" s="51">
        <f>IF(Raw_Data_Quantitative!AA58=0,AA6,Raw_Data_Quantitative!AA67*(1-Raw_Data_Quantitative!AA58/100))</f>
        <v>6.6141124999999995E-2</v>
      </c>
      <c r="AB7" s="51">
        <f>IF(Raw_Data_Quantitative!AB58=0,AB6,Raw_Data_Quantitative!AB67*(1-Raw_Data_Quantitative!AB58/100))</f>
        <v>18.5</v>
      </c>
      <c r="AC7" s="51">
        <f>IF(Raw_Data_Quantitative!AC58=0,AC6,Raw_Data_Quantitative!AC67*(1-Raw_Data_Quantitative!AC58/100))</f>
        <v>7.2711435</v>
      </c>
      <c r="AD7" s="51">
        <f>IF(Raw_Data_Quantitative!AD58=0,AD6,Raw_Data_Quantitative!AD67*(1-Raw_Data_Quantitative!AD58/100))</f>
        <v>2.1585993999999995</v>
      </c>
      <c r="AE7" s="51">
        <f>IF(Raw_Data_Quantitative!AE58=0,AE6,Raw_Data_Quantitative!AE67*(1-Raw_Data_Quantitative!AE58/100))</f>
        <v>20.228280999999999</v>
      </c>
      <c r="AF7" s="51">
        <f>IF(Raw_Data_Quantitative!AF58=0,AF6,Raw_Data_Quantitative!AF67*(1-Raw_Data_Quantitative!AF58/100))</f>
        <v>15.014940599999999</v>
      </c>
      <c r="AG7" s="51">
        <f>IF(Raw_Data_Quantitative!AG58=0,AG6,Raw_Data_Quantitative!AG67*(1-Raw_Data_Quantitative!AG58/100))</f>
        <v>5.5831045500000007</v>
      </c>
      <c r="AH7" s="52">
        <f t="shared" si="0"/>
        <v>411.04683472869999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ht="15.75" customHeight="1" x14ac:dyDescent="0.25">
      <c r="A8" s="102"/>
      <c r="B8" s="9" t="s">
        <v>161</v>
      </c>
      <c r="C8" s="51"/>
      <c r="D8" s="51">
        <f t="shared" ref="D8:AG8" si="2">D6-D7</f>
        <v>4.6680890000000002</v>
      </c>
      <c r="E8" s="51">
        <f t="shared" si="2"/>
        <v>0.55840825000000027</v>
      </c>
      <c r="F8" s="51">
        <f t="shared" si="2"/>
        <v>4.2907901000000006</v>
      </c>
      <c r="G8" s="51">
        <f t="shared" si="2"/>
        <v>2.0242863000000035</v>
      </c>
      <c r="H8" s="51">
        <f t="shared" si="2"/>
        <v>7.2279613400000002</v>
      </c>
      <c r="I8" s="51">
        <f t="shared" si="2"/>
        <v>0.22051485000000004</v>
      </c>
      <c r="J8" s="51">
        <f t="shared" si="2"/>
        <v>7.1704955000000012</v>
      </c>
      <c r="K8" s="51">
        <f t="shared" si="2"/>
        <v>11.762459300000003</v>
      </c>
      <c r="L8" s="51">
        <f t="shared" si="2"/>
        <v>56.935326131799997</v>
      </c>
      <c r="M8" s="51">
        <f t="shared" si="2"/>
        <v>0.53493324999999969</v>
      </c>
      <c r="N8" s="51">
        <f t="shared" si="2"/>
        <v>2.5953555000000001</v>
      </c>
      <c r="O8" s="51">
        <f t="shared" si="2"/>
        <v>2.0993544499999999</v>
      </c>
      <c r="P8" s="51">
        <f t="shared" si="2"/>
        <v>36.998400000000004</v>
      </c>
      <c r="Q8" s="51">
        <f t="shared" si="2"/>
        <v>0.63694537499999992</v>
      </c>
      <c r="R8" s="51">
        <f t="shared" si="2"/>
        <v>0</v>
      </c>
      <c r="S8" s="51">
        <f t="shared" si="2"/>
        <v>9.1734085000000007</v>
      </c>
      <c r="T8" s="51">
        <f t="shared" si="2"/>
        <v>10.093428124999999</v>
      </c>
      <c r="U8" s="51">
        <f t="shared" si="2"/>
        <v>0</v>
      </c>
      <c r="V8" s="51">
        <f t="shared" si="2"/>
        <v>9.9284929300000009</v>
      </c>
      <c r="W8" s="51">
        <f t="shared" si="2"/>
        <v>0.2229163799999998</v>
      </c>
      <c r="X8" s="51">
        <f t="shared" si="2"/>
        <v>-3.2359060000000035</v>
      </c>
      <c r="Y8" s="51">
        <f t="shared" si="2"/>
        <v>172.19799999999998</v>
      </c>
      <c r="Z8" s="51">
        <f t="shared" si="2"/>
        <v>2.4434161644999994</v>
      </c>
      <c r="AA8" s="51">
        <f t="shared" si="2"/>
        <v>9.8588750000000169E-3</v>
      </c>
      <c r="AB8" s="51">
        <f t="shared" si="2"/>
        <v>0</v>
      </c>
      <c r="AC8" s="51">
        <f t="shared" si="2"/>
        <v>1.1998565000000001</v>
      </c>
      <c r="AD8" s="51">
        <f t="shared" si="2"/>
        <v>6.0114006</v>
      </c>
      <c r="AE8" s="51">
        <f t="shared" si="2"/>
        <v>43.638318999999996</v>
      </c>
      <c r="AF8" s="51">
        <f t="shared" si="2"/>
        <v>4.3893594000000036</v>
      </c>
      <c r="AG8" s="51">
        <f t="shared" si="2"/>
        <v>4.6092954500000003</v>
      </c>
      <c r="AH8" s="36">
        <f t="shared" si="0"/>
        <v>398.40516527130001</v>
      </c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ht="15.75" customHeight="1" x14ac:dyDescent="0.25">
      <c r="A9" s="102"/>
      <c r="B9" s="29" t="s">
        <v>162</v>
      </c>
      <c r="C9" s="35"/>
      <c r="D9" s="35">
        <f>(Raw_Data_Quantitative!D67*(Raw_Data_Quantitative!D58/100))-(Raw_Data_Quantitative!D66*(Raw_Data_Quantitative!D50/100))</f>
        <v>6.7869110000000008</v>
      </c>
      <c r="E9" s="35">
        <f>(Raw_Data_Quantitative!E67*(Raw_Data_Quantitative!E58/100))-(Raw_Data_Quantitative!E66*(Raw_Data_Quantitative!E50/100))</f>
        <v>0.82432575000000008</v>
      </c>
      <c r="F9" s="35">
        <f>(Raw_Data_Quantitative!F67*(Raw_Data_Quantitative!F58/100))-(Raw_Data_Quantitative!F66*(Raw_Data_Quantitative!F50/100))</f>
        <v>6.4728066000000002</v>
      </c>
      <c r="G9" s="35">
        <f>(Raw_Data_Quantitative!G67*(Raw_Data_Quantitative!G58/100))-(Raw_Data_Quantitative!G66*(Raw_Data_Quantitative!G50/100))</f>
        <v>6.7014758000000008</v>
      </c>
      <c r="H9" s="35">
        <f>(Raw_Data_Quantitative!H67*(Raw_Data_Quantitative!H58/100))-(Raw_Data_Quantitative!H66*(Raw_Data_Quantitative!H50/100))</f>
        <v>11.135440340000001</v>
      </c>
      <c r="I9" s="35">
        <f>(Raw_Data_Quantitative!I67*(Raw_Data_Quantitative!I58/100))-(Raw_Data_Quantitative!I66*(Raw_Data_Quantitative!I50/100))</f>
        <v>0.28477934999999999</v>
      </c>
      <c r="J9" s="35">
        <f>(Raw_Data_Quantitative!J67*(Raw_Data_Quantitative!J58/100))-(Raw_Data_Quantitative!J66*(Raw_Data_Quantitative!J50/100))</f>
        <v>11.969504499999999</v>
      </c>
      <c r="K9" s="35">
        <f>(Raw_Data_Quantitative!K67*(Raw_Data_Quantitative!K58/100))-(Raw_Data_Quantitative!K66*(Raw_Data_Quantitative!K50/100))</f>
        <v>33.994660299999993</v>
      </c>
      <c r="L9" s="35">
        <f>(Raw_Data_Quantitative!L67*(Raw_Data_Quantitative!L58/100))-(Raw_Data_Quantitative!L66*(Raw_Data_Quantitative!L50/100))</f>
        <v>77.6906831318</v>
      </c>
      <c r="M9" s="35">
        <f>(Raw_Data_Quantitative!M67*(Raw_Data_Quantitative!M58/100))-(Raw_Data_Quantitative!M66*(Raw_Data_Quantitative!M50/100))</f>
        <v>0.86506675</v>
      </c>
      <c r="N9" s="35">
        <f>(Raw_Data_Quantitative!N67*(Raw_Data_Quantitative!N58/100))-(Raw_Data_Quantitative!N66*(Raw_Data_Quantitative!N50/100))</f>
        <v>6.4174444999999984</v>
      </c>
      <c r="O9" s="35">
        <f>(Raw_Data_Quantitative!O67*(Raw_Data_Quantitative!O58/100))-(Raw_Data_Quantitative!O66*(Raw_Data_Quantitative!O50/100))</f>
        <v>4.1065014499999997</v>
      </c>
      <c r="P9" s="35">
        <f>(Raw_Data_Quantitative!P67*(Raw_Data_Quantitative!P58/100))-(Raw_Data_Quantitative!P66*(Raw_Data_Quantitative!P50/100))</f>
        <v>43.700645500000007</v>
      </c>
      <c r="Q9" s="35">
        <f>(Raw_Data_Quantitative!Q67*(Raw_Data_Quantitative!Q58/100))-(Raw_Data_Quantitative!Q66*(Raw_Data_Quantitative!Q50/100))</f>
        <v>0.83076387500000037</v>
      </c>
      <c r="R9" s="35">
        <f>(Raw_Data_Quantitative!R67*(Raw_Data_Quantitative!R58/100))-(Raw_Data_Quantitative!R66*(Raw_Data_Quantitative!R50/100))</f>
        <v>-4.48E-2</v>
      </c>
      <c r="S9" s="35">
        <f>(Raw_Data_Quantitative!S67*(Raw_Data_Quantitative!S58/100))-(Raw_Data_Quantitative!S66*(Raw_Data_Quantitative!S50/100))</f>
        <v>13.866591499999998</v>
      </c>
      <c r="T9" s="35">
        <f>(Raw_Data_Quantitative!T67*(Raw_Data_Quantitative!T58/100))-(Raw_Data_Quantitative!T66*(Raw_Data_Quantitative!T50/100))</f>
        <v>13.553715625000001</v>
      </c>
      <c r="U9" s="35">
        <f>(Raw_Data_Quantitative!U67*(Raw_Data_Quantitative!U58/100))-(Raw_Data_Quantitative!U66*(Raw_Data_Quantitative!U50/100))</f>
        <v>-2.8080000000000003</v>
      </c>
      <c r="V9" s="35">
        <f>(Raw_Data_Quantitative!V67*(Raw_Data_Quantitative!V58/100))-(Raw_Data_Quantitative!V66*(Raw_Data_Quantitative!V50/100))</f>
        <v>16.175247430000002</v>
      </c>
      <c r="W9" s="35">
        <f>(Raw_Data_Quantitative!W67*(Raw_Data_Quantitative!W58/100))-(Raw_Data_Quantitative!W66*(Raw_Data_Quantitative!W50/100))</f>
        <v>0.61287438000000005</v>
      </c>
      <c r="X9" s="35">
        <f>(Raw_Data_Quantitative!X67*(Raw_Data_Quantitative!X58/100))-(Raw_Data_Quantitative!X66*(Raw_Data_Quantitative!X50/100))</f>
        <v>2.2821690000000006</v>
      </c>
      <c r="Y9" s="35">
        <f>(Raw_Data_Quantitative!Y67*(Raw_Data_Quantitative!Y58/100))-(Raw_Data_Quantitative!Y66*(Raw_Data_Quantitative!Y50/100))</f>
        <v>201.87896949999998</v>
      </c>
      <c r="Z9" s="35">
        <f>(Raw_Data_Quantitative!Z67*(Raw_Data_Quantitative!Z58/100))-(Raw_Data_Quantitative!Z66*(Raw_Data_Quantitative!Z50/100))</f>
        <v>3.4256826644999996</v>
      </c>
      <c r="AA9" s="35">
        <f>(Raw_Data_Quantitative!AA67*(Raw_Data_Quantitative!AA58/100))-(Raw_Data_Quantitative!AA66*(Raw_Data_Quantitative!AA50/100))</f>
        <v>7.4423374999999986E-2</v>
      </c>
      <c r="AB9" s="35">
        <f>(Raw_Data_Quantitative!AB67*(Raw_Data_Quantitative!AB58/100))-(Raw_Data_Quantitative!AB66*(Raw_Data_Quantitative!AB50/100))</f>
        <v>0</v>
      </c>
      <c r="AC9" s="35">
        <f>(Raw_Data_Quantitative!AC67*(Raw_Data_Quantitative!AC58/100))-(Raw_Data_Quantitative!AC66*(Raw_Data_Quantitative!AC50/100))</f>
        <v>2.2947145</v>
      </c>
      <c r="AD9" s="35">
        <f>(Raw_Data_Quantitative!AD67*(Raw_Data_Quantitative!AD58/100))-(Raw_Data_Quantitative!AD66*(Raw_Data_Quantitative!AD50/100))</f>
        <v>7.3043975999999997</v>
      </c>
      <c r="AE9" s="35">
        <f>(Raw_Data_Quantitative!AE67*(Raw_Data_Quantitative!AE58/100))-(Raw_Data_Quantitative!AE66*(Raw_Data_Quantitative!AE50/100))</f>
        <v>55.951442999999998</v>
      </c>
      <c r="AF9" s="35">
        <f>(Raw_Data_Quantitative!AF67*(Raw_Data_Quantitative!AF58/100))-(Raw_Data_Quantitative!AF66*(Raw_Data_Quantitative!AF50/100))</f>
        <v>8.1142604000000009</v>
      </c>
      <c r="AG9" s="35">
        <f>(Raw_Data_Quantitative!AG67*(Raw_Data_Quantitative!AG58/100))-(Raw_Data_Quantitative!AG66*(Raw_Data_Quantitative!AG50/100))</f>
        <v>6.6196439499999986</v>
      </c>
      <c r="AH9" s="36">
        <f t="shared" si="0"/>
        <v>541.08234177129998</v>
      </c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</row>
    <row r="11" spans="1:47" ht="15.75" customHeight="1" x14ac:dyDescent="0.25">
      <c r="A11" s="29"/>
      <c r="B11" s="29"/>
      <c r="C11" s="38"/>
      <c r="D11" s="38"/>
      <c r="E11" s="42"/>
      <c r="F11" s="34"/>
      <c r="G11" s="35"/>
      <c r="H11" s="34"/>
      <c r="I11" s="34"/>
      <c r="J11" s="35"/>
      <c r="K11" s="35"/>
      <c r="L11" s="34"/>
      <c r="M11" s="35"/>
      <c r="N11" s="35"/>
      <c r="O11" s="35"/>
      <c r="P11" s="34"/>
      <c r="Q11" s="34"/>
      <c r="R11" s="35"/>
      <c r="S11" s="35"/>
      <c r="T11" s="34"/>
      <c r="U11" s="35"/>
      <c r="V11" s="35"/>
      <c r="W11" s="35"/>
      <c r="X11" s="34"/>
      <c r="Y11" s="35"/>
      <c r="Z11" s="34"/>
      <c r="AA11" s="29"/>
      <c r="AB11" s="40"/>
      <c r="AC11" s="40"/>
      <c r="AD11" s="40"/>
      <c r="AE11" s="40"/>
      <c r="AF11" s="29"/>
      <c r="AG11" s="40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</row>
    <row r="12" spans="1:47" ht="15.75" customHeight="1" x14ac:dyDescent="0.25">
      <c r="A12" s="53" t="s">
        <v>116</v>
      </c>
      <c r="B12" s="53" t="s">
        <v>2</v>
      </c>
      <c r="C12" s="54" t="s">
        <v>117</v>
      </c>
      <c r="D12" s="55">
        <v>42.6</v>
      </c>
      <c r="E12" s="55">
        <v>76.599999999999994</v>
      </c>
      <c r="F12" s="55">
        <v>25.9</v>
      </c>
      <c r="G12" s="55">
        <v>74</v>
      </c>
      <c r="H12" s="55">
        <v>11</v>
      </c>
      <c r="I12" s="55">
        <v>95</v>
      </c>
      <c r="J12" s="55">
        <v>64</v>
      </c>
      <c r="K12" s="55">
        <v>21.5</v>
      </c>
      <c r="L12" s="55">
        <v>44</v>
      </c>
      <c r="M12" s="55">
        <v>73.7</v>
      </c>
      <c r="N12" s="55">
        <v>89</v>
      </c>
      <c r="O12" s="55">
        <v>53</v>
      </c>
      <c r="P12" s="55">
        <v>75</v>
      </c>
      <c r="Q12" s="55">
        <v>53</v>
      </c>
      <c r="R12" s="55">
        <v>32.700000000000003</v>
      </c>
      <c r="S12" s="55">
        <v>36</v>
      </c>
      <c r="T12" s="55">
        <v>25.9</v>
      </c>
      <c r="U12" s="55">
        <v>55</v>
      </c>
      <c r="V12" s="55">
        <v>60.1</v>
      </c>
      <c r="W12" s="55">
        <v>59.5</v>
      </c>
      <c r="X12" s="55">
        <v>20.84</v>
      </c>
      <c r="Y12" s="55">
        <v>61</v>
      </c>
      <c r="Z12" s="55">
        <v>31.66</v>
      </c>
      <c r="AA12" s="55">
        <v>84</v>
      </c>
      <c r="AB12" s="55">
        <v>84</v>
      </c>
      <c r="AC12" s="55">
        <v>36</v>
      </c>
      <c r="AD12" s="55">
        <v>70</v>
      </c>
      <c r="AE12" s="55">
        <v>78.400000000000006</v>
      </c>
      <c r="AF12" s="55">
        <v>53.6</v>
      </c>
      <c r="AG12" s="55">
        <v>62</v>
      </c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6"/>
    </row>
    <row r="13" spans="1:47" ht="15.75" customHeight="1" x14ac:dyDescent="0.25">
      <c r="A13" s="57"/>
      <c r="B13" s="53" t="s">
        <v>8</v>
      </c>
      <c r="C13" s="54" t="s">
        <v>117</v>
      </c>
      <c r="D13" s="55">
        <v>70</v>
      </c>
      <c r="E13" s="55">
        <v>100</v>
      </c>
      <c r="F13" s="55">
        <v>70</v>
      </c>
      <c r="G13" s="55">
        <v>100</v>
      </c>
      <c r="H13" s="55">
        <v>90</v>
      </c>
      <c r="I13" s="55">
        <v>100</v>
      </c>
      <c r="J13" s="55">
        <v>100</v>
      </c>
      <c r="K13" s="55">
        <v>62</v>
      </c>
      <c r="L13" s="55">
        <v>75</v>
      </c>
      <c r="M13" s="55">
        <v>100</v>
      </c>
      <c r="N13" s="55">
        <v>99.8</v>
      </c>
      <c r="O13" s="55">
        <v>100</v>
      </c>
      <c r="P13" s="55">
        <v>100</v>
      </c>
      <c r="Q13" s="55">
        <v>100</v>
      </c>
      <c r="R13" s="55">
        <v>75</v>
      </c>
      <c r="S13" s="55">
        <v>80</v>
      </c>
      <c r="T13" s="55">
        <v>70</v>
      </c>
      <c r="U13" s="55">
        <v>100</v>
      </c>
      <c r="V13" s="55">
        <v>100</v>
      </c>
      <c r="W13" s="55">
        <v>70</v>
      </c>
      <c r="X13" s="55">
        <v>60</v>
      </c>
      <c r="Y13" s="55">
        <v>100</v>
      </c>
      <c r="Z13" s="55">
        <v>81.3</v>
      </c>
      <c r="AA13" s="55">
        <v>100</v>
      </c>
      <c r="AB13" s="55">
        <v>100</v>
      </c>
      <c r="AC13" s="55">
        <v>78</v>
      </c>
      <c r="AD13" s="55">
        <v>100</v>
      </c>
      <c r="AE13" s="55">
        <v>100</v>
      </c>
      <c r="AF13" s="55">
        <v>100</v>
      </c>
      <c r="AG13" s="55">
        <v>100</v>
      </c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6"/>
    </row>
    <row r="14" spans="1:47" ht="15.75" customHeight="1" x14ac:dyDescent="0.25">
      <c r="A14" s="53" t="s">
        <v>141</v>
      </c>
      <c r="B14" s="53" t="s">
        <v>74</v>
      </c>
      <c r="C14" s="54" t="s">
        <v>117</v>
      </c>
      <c r="D14" s="55">
        <v>10.5</v>
      </c>
      <c r="E14" s="55">
        <v>66.599999999999994</v>
      </c>
      <c r="F14" s="53"/>
      <c r="G14" s="55">
        <v>23.4</v>
      </c>
      <c r="H14" s="53"/>
      <c r="I14" s="55">
        <v>0.5</v>
      </c>
      <c r="J14" s="55">
        <v>20</v>
      </c>
      <c r="K14" s="55">
        <v>5</v>
      </c>
      <c r="L14" s="55">
        <v>8</v>
      </c>
      <c r="M14" s="55">
        <v>25</v>
      </c>
      <c r="N14" s="55">
        <v>36.9</v>
      </c>
      <c r="O14" s="55">
        <v>12</v>
      </c>
      <c r="P14" s="55">
        <v>34.4</v>
      </c>
      <c r="Q14" s="55">
        <v>45.2</v>
      </c>
      <c r="R14" s="55">
        <v>0.8</v>
      </c>
      <c r="S14" s="55">
        <v>14</v>
      </c>
      <c r="T14" s="55">
        <v>24.5</v>
      </c>
      <c r="U14" s="55">
        <v>54</v>
      </c>
      <c r="V14" s="55">
        <v>17</v>
      </c>
      <c r="W14" s="55">
        <v>48.5</v>
      </c>
      <c r="X14" s="55">
        <v>6</v>
      </c>
      <c r="Y14" s="55">
        <v>26</v>
      </c>
      <c r="Z14" s="55">
        <v>39.6</v>
      </c>
      <c r="AA14" s="55">
        <v>62</v>
      </c>
      <c r="AB14" s="55"/>
      <c r="AC14" s="55">
        <v>1.5</v>
      </c>
      <c r="AD14" s="55">
        <v>14</v>
      </c>
      <c r="AE14" s="55">
        <v>6.9</v>
      </c>
      <c r="AF14" s="55">
        <v>8.9</v>
      </c>
      <c r="AG14" s="55">
        <v>38.6</v>
      </c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6"/>
    </row>
    <row r="15" spans="1:47" ht="15.75" customHeight="1" x14ac:dyDescent="0.25">
      <c r="A15" s="57"/>
      <c r="B15" s="53" t="s">
        <v>76</v>
      </c>
      <c r="C15" s="54" t="s">
        <v>117</v>
      </c>
      <c r="D15" s="55">
        <v>50</v>
      </c>
      <c r="E15" s="55">
        <v>90</v>
      </c>
      <c r="F15" s="55">
        <v>40</v>
      </c>
      <c r="G15" s="55">
        <v>40</v>
      </c>
      <c r="H15" s="55">
        <v>46</v>
      </c>
      <c r="I15" s="55">
        <v>30</v>
      </c>
      <c r="J15" s="55">
        <v>50</v>
      </c>
      <c r="K15" s="55">
        <v>30</v>
      </c>
      <c r="L15" s="55">
        <v>57.74</v>
      </c>
      <c r="M15" s="55">
        <v>50</v>
      </c>
      <c r="N15" s="55">
        <v>50</v>
      </c>
      <c r="O15" s="55">
        <v>35</v>
      </c>
      <c r="P15" s="55">
        <v>100</v>
      </c>
      <c r="Q15" s="55">
        <v>75</v>
      </c>
      <c r="R15" s="53"/>
      <c r="S15" s="55">
        <v>50</v>
      </c>
      <c r="T15" s="55">
        <v>75</v>
      </c>
      <c r="U15" s="53"/>
      <c r="V15" s="55">
        <v>54</v>
      </c>
      <c r="W15" s="55">
        <v>61</v>
      </c>
      <c r="X15" s="55">
        <v>12</v>
      </c>
      <c r="Y15" s="55">
        <v>100</v>
      </c>
      <c r="Z15" s="55">
        <v>81.3</v>
      </c>
      <c r="AA15" s="55">
        <v>75</v>
      </c>
      <c r="AB15" s="55"/>
      <c r="AC15" s="55">
        <v>25</v>
      </c>
      <c r="AD15" s="55">
        <v>80</v>
      </c>
      <c r="AE15" s="55">
        <v>75</v>
      </c>
      <c r="AF15" s="55">
        <v>40</v>
      </c>
      <c r="AG15" s="55">
        <v>70</v>
      </c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6"/>
    </row>
    <row r="16" spans="1:47" ht="15.75" customHeight="1" x14ac:dyDescent="0.25">
      <c r="A16" s="105" t="s">
        <v>164</v>
      </c>
      <c r="B16" s="53" t="s">
        <v>165</v>
      </c>
      <c r="C16" s="54" t="s">
        <v>166</v>
      </c>
      <c r="D16" s="55">
        <v>14.5</v>
      </c>
      <c r="E16" s="55">
        <v>2.5</v>
      </c>
      <c r="F16" s="55">
        <v>14</v>
      </c>
      <c r="G16" s="55">
        <v>29.1</v>
      </c>
      <c r="H16" s="55">
        <v>20.3</v>
      </c>
      <c r="I16" s="55">
        <v>0.9</v>
      </c>
      <c r="J16" s="55">
        <v>31.9</v>
      </c>
      <c r="K16" s="55">
        <v>109.3</v>
      </c>
      <c r="L16" s="55">
        <v>132.1</v>
      </c>
      <c r="M16" s="55">
        <v>2.8</v>
      </c>
      <c r="N16" s="55">
        <v>34.4</v>
      </c>
      <c r="O16" s="55">
        <v>14.8</v>
      </c>
      <c r="P16" s="55">
        <v>56.4</v>
      </c>
      <c r="Q16" s="55">
        <v>2.2999999999999998</v>
      </c>
      <c r="R16" s="55">
        <v>5.6</v>
      </c>
      <c r="S16" s="55">
        <v>32</v>
      </c>
      <c r="T16" s="55">
        <v>21.7</v>
      </c>
      <c r="U16" s="55">
        <v>5.2</v>
      </c>
      <c r="V16" s="55">
        <v>34.6</v>
      </c>
      <c r="W16" s="55">
        <v>3</v>
      </c>
      <c r="X16" s="55">
        <v>27</v>
      </c>
      <c r="Y16" s="55">
        <v>232.7</v>
      </c>
      <c r="Z16" s="55">
        <v>6.3</v>
      </c>
      <c r="AA16" s="55">
        <v>0.2</v>
      </c>
      <c r="AB16" s="55">
        <v>18.5</v>
      </c>
      <c r="AC16" s="55">
        <v>8.6</v>
      </c>
      <c r="AD16" s="55">
        <v>9.5</v>
      </c>
      <c r="AE16" s="55">
        <v>68.599999999999994</v>
      </c>
      <c r="AF16" s="55">
        <v>21.3</v>
      </c>
      <c r="AG16" s="55">
        <v>16.600000000000001</v>
      </c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6"/>
    </row>
    <row r="17" spans="1:47" ht="15.75" customHeight="1" x14ac:dyDescent="0.25">
      <c r="A17" s="102"/>
      <c r="B17" s="53" t="s">
        <v>167</v>
      </c>
      <c r="C17" s="54" t="s">
        <v>168</v>
      </c>
      <c r="D17" s="55">
        <v>16.62</v>
      </c>
      <c r="E17" s="55">
        <v>2.77</v>
      </c>
      <c r="F17" s="55">
        <v>16.18</v>
      </c>
      <c r="G17" s="55">
        <v>33.78</v>
      </c>
      <c r="H17" s="55">
        <v>24.21</v>
      </c>
      <c r="I17" s="55">
        <v>0.96</v>
      </c>
      <c r="J17" s="55">
        <v>36.700000000000003</v>
      </c>
      <c r="K17" s="55">
        <v>131.53</v>
      </c>
      <c r="L17" s="55">
        <v>152.86000000000001</v>
      </c>
      <c r="M17" s="55">
        <v>3.13</v>
      </c>
      <c r="N17" s="55">
        <v>38.22</v>
      </c>
      <c r="O17" s="55">
        <v>16.809999999999999</v>
      </c>
      <c r="P17" s="55">
        <v>63.1</v>
      </c>
      <c r="Q17" s="55">
        <v>2.4900000000000002</v>
      </c>
      <c r="R17" s="55">
        <v>6.37</v>
      </c>
      <c r="S17" s="55">
        <v>36.69</v>
      </c>
      <c r="T17" s="55">
        <v>25.16</v>
      </c>
      <c r="U17" s="55">
        <v>6.06</v>
      </c>
      <c r="V17" s="55">
        <v>40.85</v>
      </c>
      <c r="W17" s="55">
        <v>3.39</v>
      </c>
      <c r="X17" s="55">
        <v>32.520000000000003</v>
      </c>
      <c r="Y17" s="55">
        <v>262.38</v>
      </c>
      <c r="Z17" s="55">
        <v>7.28</v>
      </c>
      <c r="AA17" s="55">
        <v>0.26</v>
      </c>
      <c r="AB17" s="55">
        <v>21.16</v>
      </c>
      <c r="AC17" s="55">
        <v>9.69</v>
      </c>
      <c r="AD17" s="55">
        <v>10.79</v>
      </c>
      <c r="AE17" s="55">
        <v>80.91</v>
      </c>
      <c r="AF17" s="55">
        <v>25.02</v>
      </c>
      <c r="AG17" s="55">
        <v>18.61</v>
      </c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6"/>
    </row>
    <row r="18" spans="1:47" ht="15.75" customHeight="1" x14ac:dyDescent="0.25">
      <c r="A18" s="53" t="s">
        <v>118</v>
      </c>
      <c r="B18" s="53" t="s">
        <v>16</v>
      </c>
      <c r="C18" s="54" t="s">
        <v>117</v>
      </c>
      <c r="D18" s="55">
        <v>199.8</v>
      </c>
      <c r="E18" s="55">
        <v>892</v>
      </c>
      <c r="F18" s="55">
        <v>204.88</v>
      </c>
      <c r="G18" s="58">
        <v>3000</v>
      </c>
      <c r="H18" s="55">
        <v>487</v>
      </c>
      <c r="I18" s="55">
        <v>53</v>
      </c>
      <c r="J18" s="58">
        <v>2907</v>
      </c>
      <c r="K18" s="58">
        <v>3067</v>
      </c>
      <c r="L18" s="58">
        <v>9761</v>
      </c>
      <c r="M18" s="55">
        <v>99</v>
      </c>
      <c r="N18" s="58">
        <v>5641</v>
      </c>
      <c r="O18" s="58">
        <v>1310</v>
      </c>
      <c r="P18" s="58">
        <v>2627</v>
      </c>
      <c r="Q18" s="55">
        <v>104.7</v>
      </c>
      <c r="R18" s="55">
        <v>126</v>
      </c>
      <c r="S18" s="55">
        <v>828</v>
      </c>
      <c r="T18" s="55">
        <v>550</v>
      </c>
      <c r="U18" s="55">
        <v>615.1</v>
      </c>
      <c r="V18" s="58">
        <v>2922</v>
      </c>
      <c r="W18" s="55">
        <v>695</v>
      </c>
      <c r="X18" s="55">
        <v>352</v>
      </c>
      <c r="Y18" s="58">
        <v>12000</v>
      </c>
      <c r="Z18" s="55">
        <v>748</v>
      </c>
      <c r="AA18" s="55">
        <v>38</v>
      </c>
      <c r="AB18" s="55"/>
      <c r="AC18" s="55">
        <v>271</v>
      </c>
      <c r="AD18" s="55">
        <v>267.5</v>
      </c>
      <c r="AE18" s="58">
        <v>3404.2</v>
      </c>
      <c r="AF18" s="58">
        <v>3811.3</v>
      </c>
      <c r="AG18" s="58">
        <v>2962</v>
      </c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6"/>
    </row>
    <row r="19" spans="1:47" ht="15.75" customHeight="1" x14ac:dyDescent="0.25">
      <c r="A19" s="57"/>
      <c r="B19" s="53" t="s">
        <v>18</v>
      </c>
      <c r="C19" s="54" t="s">
        <v>117</v>
      </c>
      <c r="D19" s="55">
        <v>794</v>
      </c>
      <c r="E19" s="55">
        <v>950</v>
      </c>
      <c r="F19" s="55">
        <v>410</v>
      </c>
      <c r="G19" s="58">
        <v>3000</v>
      </c>
      <c r="H19" s="55">
        <v>866</v>
      </c>
      <c r="I19" s="53"/>
      <c r="J19" s="58">
        <v>5128</v>
      </c>
      <c r="K19" s="58">
        <v>13576</v>
      </c>
      <c r="L19" s="58">
        <v>14000</v>
      </c>
      <c r="M19" s="53"/>
      <c r="N19" s="58">
        <v>6200</v>
      </c>
      <c r="O19" s="58">
        <v>3827</v>
      </c>
      <c r="P19" s="58">
        <v>5952</v>
      </c>
      <c r="Q19" s="53"/>
      <c r="R19" s="55"/>
      <c r="S19" s="53"/>
      <c r="T19" s="58">
        <v>1490</v>
      </c>
      <c r="U19" s="53"/>
      <c r="V19" s="55"/>
      <c r="W19" s="58">
        <v>1149</v>
      </c>
      <c r="X19" s="53"/>
      <c r="Y19" s="53"/>
      <c r="Z19" s="58">
        <v>3701</v>
      </c>
      <c r="AA19" s="53"/>
      <c r="AB19" s="55"/>
      <c r="AC19" s="55">
        <v>1120</v>
      </c>
      <c r="AD19" s="55">
        <v>1154.5</v>
      </c>
      <c r="AE19" s="55"/>
      <c r="AF19" s="58">
        <v>10000</v>
      </c>
      <c r="AG19" s="58">
        <v>5432</v>
      </c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6"/>
    </row>
    <row r="20" spans="1:47" ht="15.75" customHeight="1" x14ac:dyDescent="0.25">
      <c r="A20" s="57"/>
      <c r="B20" s="53" t="s">
        <v>20</v>
      </c>
      <c r="C20" s="54" t="s">
        <v>117</v>
      </c>
      <c r="D20" s="53"/>
      <c r="E20" s="53"/>
      <c r="F20" s="53"/>
      <c r="G20" s="53"/>
      <c r="H20" s="55">
        <v>866</v>
      </c>
      <c r="I20" s="53"/>
      <c r="J20" s="58">
        <v>1374</v>
      </c>
      <c r="K20" s="53"/>
      <c r="L20" s="53"/>
      <c r="M20" s="53"/>
      <c r="N20" s="53"/>
      <c r="O20" s="58">
        <v>2517</v>
      </c>
      <c r="P20" s="58">
        <v>3325</v>
      </c>
      <c r="Q20" s="53"/>
      <c r="R20" s="53"/>
      <c r="S20" s="53"/>
      <c r="T20" s="55">
        <v>848</v>
      </c>
      <c r="U20" s="53"/>
      <c r="V20" s="58">
        <v>3100</v>
      </c>
      <c r="W20" s="55">
        <v>454</v>
      </c>
      <c r="X20" s="53"/>
      <c r="Y20" s="53"/>
      <c r="Z20" s="58">
        <v>2953</v>
      </c>
      <c r="AA20" s="55">
        <v>60</v>
      </c>
      <c r="AB20" s="55"/>
      <c r="AC20" s="55"/>
      <c r="AD20" s="55">
        <v>894</v>
      </c>
      <c r="AE20" s="58">
        <v>1973</v>
      </c>
      <c r="AF20" s="58">
        <v>6200</v>
      </c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6"/>
    </row>
    <row r="21" spans="1:47" ht="15.75" customHeight="1" x14ac:dyDescent="0.25">
      <c r="A21" s="53" t="s">
        <v>133</v>
      </c>
      <c r="B21" s="53" t="s">
        <v>50</v>
      </c>
      <c r="C21" s="54" t="s">
        <v>117</v>
      </c>
      <c r="D21" s="58">
        <v>2360000000</v>
      </c>
      <c r="E21" s="58">
        <v>2520000000</v>
      </c>
      <c r="F21" s="58">
        <v>3490000000</v>
      </c>
      <c r="G21" s="58">
        <v>12554000000</v>
      </c>
      <c r="H21" s="58">
        <v>1950000000</v>
      </c>
      <c r="I21" s="58">
        <v>390210000</v>
      </c>
      <c r="J21" s="58">
        <v>8460000000</v>
      </c>
      <c r="K21" s="58">
        <v>37048660000</v>
      </c>
      <c r="L21" s="58">
        <v>9646040000</v>
      </c>
      <c r="M21" s="58">
        <v>552000000</v>
      </c>
      <c r="N21" s="58">
        <v>4404000000</v>
      </c>
      <c r="O21" s="58">
        <v>8900000000</v>
      </c>
      <c r="P21" s="58">
        <v>19115000000</v>
      </c>
      <c r="Q21" s="58">
        <v>1970000000</v>
      </c>
      <c r="R21" s="58">
        <v>1500000000</v>
      </c>
      <c r="S21" s="58">
        <v>7200000000</v>
      </c>
      <c r="T21" s="58">
        <v>5500000000</v>
      </c>
      <c r="U21" s="58">
        <v>3067300000</v>
      </c>
      <c r="V21" s="58">
        <v>18620000000</v>
      </c>
      <c r="W21" s="58">
        <v>1764000000</v>
      </c>
      <c r="X21" s="59"/>
      <c r="Y21" s="58">
        <v>32700000000</v>
      </c>
      <c r="Z21" s="58">
        <v>11543000000</v>
      </c>
      <c r="AA21" s="58">
        <v>297000000</v>
      </c>
      <c r="AB21" s="58">
        <v>6300000000</v>
      </c>
      <c r="AC21" s="58">
        <v>2245000000</v>
      </c>
      <c r="AD21" s="58">
        <v>12889999999</v>
      </c>
      <c r="AE21" s="58">
        <v>3000000000</v>
      </c>
      <c r="AF21" s="58">
        <v>11880000000</v>
      </c>
      <c r="AG21" s="58">
        <v>9134890000</v>
      </c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29"/>
    </row>
    <row r="22" spans="1:47" ht="15.75" customHeight="1" x14ac:dyDescent="0.25">
      <c r="A22" s="57"/>
      <c r="B22" s="53" t="s">
        <v>52</v>
      </c>
      <c r="C22" s="54" t="s">
        <v>117</v>
      </c>
      <c r="D22" s="58">
        <v>1420000000</v>
      </c>
      <c r="E22" s="58">
        <v>1414000000</v>
      </c>
      <c r="F22" s="58">
        <v>1950000000</v>
      </c>
      <c r="G22" s="58"/>
      <c r="H22" s="58">
        <v>1299744000</v>
      </c>
      <c r="I22" s="58">
        <v>117000000</v>
      </c>
      <c r="J22" s="58">
        <v>4620000000</v>
      </c>
      <c r="K22" s="58">
        <v>17314100000</v>
      </c>
      <c r="L22" s="58">
        <v>6584240000</v>
      </c>
      <c r="M22" s="58">
        <v>305000000</v>
      </c>
      <c r="N22" s="58">
        <v>1793000000</v>
      </c>
      <c r="O22" s="58">
        <v>1200000000</v>
      </c>
      <c r="P22" s="58">
        <v>14002000000</v>
      </c>
      <c r="Q22" s="58">
        <v>499700000</v>
      </c>
      <c r="R22" s="58">
        <v>1150000000</v>
      </c>
      <c r="S22" s="58">
        <v>2880000000</v>
      </c>
      <c r="T22" s="60"/>
      <c r="U22" s="58">
        <v>1220260000</v>
      </c>
      <c r="V22" s="58">
        <v>9923000000</v>
      </c>
      <c r="W22" s="58">
        <v>1353000000</v>
      </c>
      <c r="X22" s="60"/>
      <c r="Y22" s="58">
        <v>17200000000</v>
      </c>
      <c r="Z22" s="58">
        <v>3276000000</v>
      </c>
      <c r="AA22" s="58">
        <v>108000000</v>
      </c>
      <c r="AB22" s="58">
        <v>3926000000</v>
      </c>
      <c r="AC22" s="58">
        <v>835000000</v>
      </c>
      <c r="AD22" s="58">
        <v>8850000000</v>
      </c>
      <c r="AE22" s="58">
        <v>1320000000</v>
      </c>
      <c r="AF22" s="60"/>
      <c r="AG22" s="59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29"/>
    </row>
    <row r="23" spans="1:47" ht="15.75" customHeight="1" x14ac:dyDescent="0.25">
      <c r="A23" s="57"/>
      <c r="B23" s="53" t="s">
        <v>54</v>
      </c>
      <c r="C23" s="54" t="s">
        <v>117</v>
      </c>
      <c r="D23" s="58">
        <v>940000000</v>
      </c>
      <c r="E23" s="58">
        <v>1106000000</v>
      </c>
      <c r="F23" s="58">
        <v>1540000000</v>
      </c>
      <c r="G23" s="58">
        <v>6372000000</v>
      </c>
      <c r="H23" s="58">
        <v>650256000</v>
      </c>
      <c r="I23" s="58">
        <v>273000000</v>
      </c>
      <c r="J23" s="58">
        <v>1940000000</v>
      </c>
      <c r="K23" s="58">
        <v>19734550000</v>
      </c>
      <c r="L23" s="58">
        <v>3061800000</v>
      </c>
      <c r="M23" s="58">
        <v>247000000</v>
      </c>
      <c r="N23" s="58">
        <v>2611000000</v>
      </c>
      <c r="O23" s="58">
        <v>7641000000</v>
      </c>
      <c r="P23" s="58">
        <v>5113000000</v>
      </c>
      <c r="Q23" s="58">
        <v>1470000000</v>
      </c>
      <c r="R23" s="58">
        <v>140000000</v>
      </c>
      <c r="S23" s="58">
        <v>4320000000</v>
      </c>
      <c r="T23" s="58">
        <v>162800000</v>
      </c>
      <c r="U23" s="58">
        <v>1225800000</v>
      </c>
      <c r="V23" s="58">
        <v>8698000000</v>
      </c>
      <c r="W23" s="58">
        <v>411000000</v>
      </c>
      <c r="X23" s="58">
        <v>527000000</v>
      </c>
      <c r="Y23" s="58">
        <v>15500000000</v>
      </c>
      <c r="Z23" s="58">
        <v>8267000000</v>
      </c>
      <c r="AA23" s="58">
        <v>190000000</v>
      </c>
      <c r="AB23" s="58">
        <v>2300000000</v>
      </c>
      <c r="AC23" s="58">
        <v>1410000000</v>
      </c>
      <c r="AD23" s="58">
        <v>4039000000</v>
      </c>
      <c r="AE23" s="58">
        <v>1680000000</v>
      </c>
      <c r="AF23" s="58">
        <v>9500000000</v>
      </c>
      <c r="AG23" s="58">
        <v>4420000000</v>
      </c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29"/>
    </row>
    <row r="24" spans="1:47" ht="15.75" customHeight="1" x14ac:dyDescent="0.25">
      <c r="A24" s="29"/>
      <c r="B24" s="29"/>
      <c r="C24" s="38"/>
      <c r="D24" s="38"/>
      <c r="E24" s="42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5"/>
      <c r="T24" s="34"/>
      <c r="U24" s="34"/>
      <c r="V24" s="34"/>
      <c r="W24" s="34"/>
      <c r="X24" s="34"/>
      <c r="Y24" s="34"/>
      <c r="Z24" s="34"/>
      <c r="AA24" s="40"/>
      <c r="AB24" s="40"/>
      <c r="AC24" s="40"/>
      <c r="AD24" s="40"/>
      <c r="AE24" s="40"/>
      <c r="AF24" s="40"/>
      <c r="AG24" s="40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</row>
    <row r="25" spans="1:47" ht="15.75" customHeight="1" x14ac:dyDescent="0.25">
      <c r="A25" s="29"/>
      <c r="B25" s="29" t="s">
        <v>176</v>
      </c>
      <c r="C25" s="38"/>
      <c r="D25" s="38">
        <f t="shared" ref="D25:AG25" si="3">D16*(D12/100)</f>
        <v>6.1769999999999996</v>
      </c>
      <c r="E25" s="38">
        <f t="shared" si="3"/>
        <v>1.9149999999999998</v>
      </c>
      <c r="F25" s="38">
        <f t="shared" si="3"/>
        <v>3.6260000000000003</v>
      </c>
      <c r="G25" s="38">
        <f t="shared" si="3"/>
        <v>21.534000000000002</v>
      </c>
      <c r="H25" s="38">
        <f t="shared" si="3"/>
        <v>2.2330000000000001</v>
      </c>
      <c r="I25" s="38">
        <f t="shared" si="3"/>
        <v>0.85499999999999998</v>
      </c>
      <c r="J25" s="38">
        <f t="shared" si="3"/>
        <v>20.416</v>
      </c>
      <c r="K25" s="38">
        <f t="shared" si="3"/>
        <v>23.499499999999998</v>
      </c>
      <c r="L25" s="38">
        <f t="shared" si="3"/>
        <v>58.123999999999995</v>
      </c>
      <c r="M25" s="38">
        <f t="shared" si="3"/>
        <v>2.0635999999999997</v>
      </c>
      <c r="N25" s="38">
        <f t="shared" si="3"/>
        <v>30.616</v>
      </c>
      <c r="O25" s="38">
        <f t="shared" si="3"/>
        <v>7.8440000000000012</v>
      </c>
      <c r="P25" s="38">
        <f t="shared" si="3"/>
        <v>42.3</v>
      </c>
      <c r="Q25" s="38">
        <f t="shared" si="3"/>
        <v>1.2189999999999999</v>
      </c>
      <c r="R25" s="38">
        <f t="shared" si="3"/>
        <v>1.8311999999999999</v>
      </c>
      <c r="S25" s="38">
        <f t="shared" si="3"/>
        <v>11.52</v>
      </c>
      <c r="T25" s="38">
        <f t="shared" si="3"/>
        <v>5.6203000000000003</v>
      </c>
      <c r="U25" s="38">
        <f t="shared" si="3"/>
        <v>2.8600000000000003</v>
      </c>
      <c r="V25" s="38">
        <f t="shared" si="3"/>
        <v>20.794599999999999</v>
      </c>
      <c r="W25" s="38">
        <f t="shared" si="3"/>
        <v>1.7849999999999999</v>
      </c>
      <c r="X25" s="38">
        <f t="shared" si="3"/>
        <v>5.6268000000000002</v>
      </c>
      <c r="Y25" s="38">
        <f t="shared" si="3"/>
        <v>141.947</v>
      </c>
      <c r="Z25" s="38">
        <f t="shared" si="3"/>
        <v>1.9945799999999998</v>
      </c>
      <c r="AA25" s="38">
        <f t="shared" si="3"/>
        <v>0.16800000000000001</v>
      </c>
      <c r="AB25" s="38">
        <f t="shared" si="3"/>
        <v>15.54</v>
      </c>
      <c r="AC25" s="38">
        <f t="shared" si="3"/>
        <v>3.0959999999999996</v>
      </c>
      <c r="AD25" s="38">
        <f t="shared" si="3"/>
        <v>6.6499999999999995</v>
      </c>
      <c r="AE25" s="38">
        <f t="shared" si="3"/>
        <v>53.782399999999996</v>
      </c>
      <c r="AF25" s="38">
        <f t="shared" si="3"/>
        <v>11.4168</v>
      </c>
      <c r="AG25" s="38">
        <f t="shared" si="3"/>
        <v>10.292000000000002</v>
      </c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</row>
    <row r="26" spans="1:47" ht="15.75" customHeight="1" x14ac:dyDescent="0.25">
      <c r="A26" s="29"/>
      <c r="B26" s="29" t="s">
        <v>177</v>
      </c>
      <c r="C26" s="38"/>
      <c r="D26" s="38">
        <f t="shared" ref="D26:AG26" si="4">D17*(D13/100)</f>
        <v>11.634</v>
      </c>
      <c r="E26" s="38">
        <f t="shared" si="4"/>
        <v>2.77</v>
      </c>
      <c r="F26" s="38">
        <f t="shared" si="4"/>
        <v>11.325999999999999</v>
      </c>
      <c r="G26" s="38">
        <f t="shared" si="4"/>
        <v>33.78</v>
      </c>
      <c r="H26" s="38">
        <f t="shared" si="4"/>
        <v>21.789000000000001</v>
      </c>
      <c r="I26" s="38">
        <f t="shared" si="4"/>
        <v>0.96</v>
      </c>
      <c r="J26" s="38">
        <f t="shared" si="4"/>
        <v>36.700000000000003</v>
      </c>
      <c r="K26" s="38">
        <f t="shared" si="4"/>
        <v>81.548599999999993</v>
      </c>
      <c r="L26" s="38">
        <f t="shared" si="4"/>
        <v>114.64500000000001</v>
      </c>
      <c r="M26" s="38">
        <f t="shared" si="4"/>
        <v>3.13</v>
      </c>
      <c r="N26" s="38">
        <f t="shared" si="4"/>
        <v>38.143560000000001</v>
      </c>
      <c r="O26" s="38">
        <f t="shared" si="4"/>
        <v>16.809999999999999</v>
      </c>
      <c r="P26" s="38">
        <f t="shared" si="4"/>
        <v>63.1</v>
      </c>
      <c r="Q26" s="38">
        <f t="shared" si="4"/>
        <v>2.4900000000000002</v>
      </c>
      <c r="R26" s="38">
        <f t="shared" si="4"/>
        <v>4.7774999999999999</v>
      </c>
      <c r="S26" s="38">
        <f t="shared" si="4"/>
        <v>29.352</v>
      </c>
      <c r="T26" s="38">
        <f t="shared" si="4"/>
        <v>17.611999999999998</v>
      </c>
      <c r="U26" s="38">
        <f t="shared" si="4"/>
        <v>6.06</v>
      </c>
      <c r="V26" s="38">
        <f t="shared" si="4"/>
        <v>40.85</v>
      </c>
      <c r="W26" s="38">
        <f t="shared" si="4"/>
        <v>2.3729999999999998</v>
      </c>
      <c r="X26" s="38">
        <f t="shared" si="4"/>
        <v>19.512</v>
      </c>
      <c r="Y26" s="38">
        <f t="shared" si="4"/>
        <v>262.38</v>
      </c>
      <c r="Z26" s="38">
        <f t="shared" si="4"/>
        <v>5.9186399999999999</v>
      </c>
      <c r="AA26" s="38">
        <f t="shared" si="4"/>
        <v>0.26</v>
      </c>
      <c r="AB26" s="38">
        <f t="shared" si="4"/>
        <v>21.16</v>
      </c>
      <c r="AC26" s="38">
        <f t="shared" si="4"/>
        <v>7.5582000000000003</v>
      </c>
      <c r="AD26" s="38">
        <f t="shared" si="4"/>
        <v>10.79</v>
      </c>
      <c r="AE26" s="38">
        <f t="shared" si="4"/>
        <v>80.91</v>
      </c>
      <c r="AF26" s="38">
        <f t="shared" si="4"/>
        <v>25.02</v>
      </c>
      <c r="AG26" s="38">
        <f t="shared" si="4"/>
        <v>18.61</v>
      </c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</row>
    <row r="27" spans="1:47" ht="15.75" customHeight="1" x14ac:dyDescent="0.25">
      <c r="A27" s="29"/>
      <c r="B27" s="29" t="s">
        <v>178</v>
      </c>
      <c r="C27" s="38"/>
      <c r="D27" s="35">
        <f t="shared" ref="D27:AG27" si="5">IF(ISBLANK(D14),"",D16*(D14/100))</f>
        <v>1.5225</v>
      </c>
      <c r="E27" s="35">
        <f t="shared" si="5"/>
        <v>1.6649999999999998</v>
      </c>
      <c r="F27" s="35" t="str">
        <f t="shared" si="5"/>
        <v/>
      </c>
      <c r="G27" s="35">
        <f t="shared" si="5"/>
        <v>6.8094000000000001</v>
      </c>
      <c r="H27" s="35" t="str">
        <f t="shared" si="5"/>
        <v/>
      </c>
      <c r="I27" s="35">
        <f t="shared" si="5"/>
        <v>4.5000000000000005E-3</v>
      </c>
      <c r="J27" s="35">
        <f t="shared" si="5"/>
        <v>6.38</v>
      </c>
      <c r="K27" s="35">
        <f t="shared" si="5"/>
        <v>5.4649999999999999</v>
      </c>
      <c r="L27" s="35">
        <f t="shared" si="5"/>
        <v>10.568</v>
      </c>
      <c r="M27" s="35">
        <f t="shared" si="5"/>
        <v>0.7</v>
      </c>
      <c r="N27" s="35">
        <f t="shared" si="5"/>
        <v>12.6936</v>
      </c>
      <c r="O27" s="35">
        <f t="shared" si="5"/>
        <v>1.776</v>
      </c>
      <c r="P27" s="35">
        <f t="shared" si="5"/>
        <v>19.401599999999998</v>
      </c>
      <c r="Q27" s="35">
        <f t="shared" si="5"/>
        <v>1.0395999999999999</v>
      </c>
      <c r="R27" s="35">
        <f t="shared" si="5"/>
        <v>4.48E-2</v>
      </c>
      <c r="S27" s="35">
        <f t="shared" si="5"/>
        <v>4.4800000000000004</v>
      </c>
      <c r="T27" s="35">
        <f t="shared" si="5"/>
        <v>5.3164999999999996</v>
      </c>
      <c r="U27" s="35">
        <f t="shared" si="5"/>
        <v>2.8080000000000003</v>
      </c>
      <c r="V27" s="35">
        <f t="shared" si="5"/>
        <v>5.8820000000000006</v>
      </c>
      <c r="W27" s="35">
        <f t="shared" si="5"/>
        <v>1.4550000000000001</v>
      </c>
      <c r="X27" s="35">
        <f t="shared" si="5"/>
        <v>1.6199999999999999</v>
      </c>
      <c r="Y27" s="35">
        <f t="shared" si="5"/>
        <v>60.502000000000002</v>
      </c>
      <c r="Z27" s="35">
        <f t="shared" si="5"/>
        <v>2.4948000000000001</v>
      </c>
      <c r="AA27" s="35">
        <f t="shared" si="5"/>
        <v>0.124</v>
      </c>
      <c r="AB27" s="35" t="str">
        <f t="shared" si="5"/>
        <v/>
      </c>
      <c r="AC27" s="35">
        <f t="shared" si="5"/>
        <v>0.129</v>
      </c>
      <c r="AD27" s="35">
        <f t="shared" si="5"/>
        <v>1.33</v>
      </c>
      <c r="AE27" s="35">
        <f t="shared" si="5"/>
        <v>4.7333999999999996</v>
      </c>
      <c r="AF27" s="35">
        <f t="shared" si="5"/>
        <v>1.8957000000000002</v>
      </c>
      <c r="AG27" s="35">
        <f t="shared" si="5"/>
        <v>6.4076000000000004</v>
      </c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</row>
    <row r="28" spans="1:47" ht="15.75" customHeight="1" x14ac:dyDescent="0.25">
      <c r="A28" s="29"/>
      <c r="B28" s="29" t="s">
        <v>179</v>
      </c>
      <c r="C28" s="38"/>
      <c r="D28" s="35">
        <f t="shared" ref="D28:AG28" si="6">IF(ISBLANK(D15),D17*(D14/100),D17*(D15/100))</f>
        <v>8.31</v>
      </c>
      <c r="E28" s="35">
        <f t="shared" si="6"/>
        <v>2.4929999999999999</v>
      </c>
      <c r="F28" s="35">
        <f t="shared" si="6"/>
        <v>6.4720000000000004</v>
      </c>
      <c r="G28" s="35">
        <f t="shared" si="6"/>
        <v>13.512</v>
      </c>
      <c r="H28" s="35">
        <f t="shared" si="6"/>
        <v>11.136600000000001</v>
      </c>
      <c r="I28" s="35">
        <f t="shared" si="6"/>
        <v>0.28799999999999998</v>
      </c>
      <c r="J28" s="35">
        <f t="shared" si="6"/>
        <v>18.350000000000001</v>
      </c>
      <c r="K28" s="35">
        <f t="shared" si="6"/>
        <v>39.458999999999996</v>
      </c>
      <c r="L28" s="35">
        <f t="shared" si="6"/>
        <v>88.261364000000015</v>
      </c>
      <c r="M28" s="35">
        <f t="shared" si="6"/>
        <v>1.5649999999999999</v>
      </c>
      <c r="N28" s="35">
        <f t="shared" si="6"/>
        <v>19.11</v>
      </c>
      <c r="O28" s="35">
        <f t="shared" si="6"/>
        <v>5.8834999999999988</v>
      </c>
      <c r="P28" s="35">
        <f t="shared" si="6"/>
        <v>63.1</v>
      </c>
      <c r="Q28" s="35">
        <f t="shared" si="6"/>
        <v>1.8675000000000002</v>
      </c>
      <c r="R28" s="35">
        <f t="shared" si="6"/>
        <v>5.0960000000000005E-2</v>
      </c>
      <c r="S28" s="35">
        <f t="shared" si="6"/>
        <v>18.344999999999999</v>
      </c>
      <c r="T28" s="35">
        <f t="shared" si="6"/>
        <v>18.87</v>
      </c>
      <c r="U28" s="35">
        <f t="shared" si="6"/>
        <v>3.2724000000000002</v>
      </c>
      <c r="V28" s="35">
        <f t="shared" si="6"/>
        <v>22.059000000000001</v>
      </c>
      <c r="W28" s="35">
        <f t="shared" si="6"/>
        <v>2.0678999999999998</v>
      </c>
      <c r="X28" s="35">
        <f t="shared" si="6"/>
        <v>3.9024000000000001</v>
      </c>
      <c r="Y28" s="35">
        <f t="shared" si="6"/>
        <v>262.38</v>
      </c>
      <c r="Z28" s="35">
        <f t="shared" si="6"/>
        <v>5.9186399999999999</v>
      </c>
      <c r="AA28" s="35">
        <f t="shared" si="6"/>
        <v>0.19500000000000001</v>
      </c>
      <c r="AB28" s="35">
        <f t="shared" si="6"/>
        <v>0</v>
      </c>
      <c r="AC28" s="35">
        <f t="shared" si="6"/>
        <v>2.4224999999999999</v>
      </c>
      <c r="AD28" s="35">
        <f t="shared" si="6"/>
        <v>8.6319999999999997</v>
      </c>
      <c r="AE28" s="35">
        <f t="shared" si="6"/>
        <v>60.682499999999997</v>
      </c>
      <c r="AF28" s="35">
        <f t="shared" si="6"/>
        <v>10.008000000000001</v>
      </c>
      <c r="AG28" s="35">
        <f t="shared" si="6"/>
        <v>13.026999999999999</v>
      </c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</row>
    <row r="29" spans="1:47" ht="15.75" customHeight="1" x14ac:dyDescent="0.25">
      <c r="A29" s="29"/>
      <c r="B29" s="61" t="s">
        <v>180</v>
      </c>
      <c r="C29" s="38"/>
      <c r="D29" s="62">
        <f t="shared" ref="D29:AG29" si="7">D26-D25</f>
        <v>5.4570000000000007</v>
      </c>
      <c r="E29" s="62">
        <f t="shared" si="7"/>
        <v>0.8550000000000002</v>
      </c>
      <c r="F29" s="62">
        <f t="shared" si="7"/>
        <v>7.6999999999999984</v>
      </c>
      <c r="G29" s="62">
        <f t="shared" si="7"/>
        <v>12.245999999999999</v>
      </c>
      <c r="H29" s="62">
        <f t="shared" si="7"/>
        <v>19.556000000000001</v>
      </c>
      <c r="I29" s="62">
        <f t="shared" si="7"/>
        <v>0.10499999999999998</v>
      </c>
      <c r="J29" s="62">
        <f t="shared" si="7"/>
        <v>16.284000000000002</v>
      </c>
      <c r="K29" s="62">
        <f t="shared" si="7"/>
        <v>58.049099999999996</v>
      </c>
      <c r="L29" s="62">
        <f t="shared" si="7"/>
        <v>56.521000000000015</v>
      </c>
      <c r="M29" s="62">
        <f t="shared" si="7"/>
        <v>1.0664000000000002</v>
      </c>
      <c r="N29" s="62">
        <f t="shared" si="7"/>
        <v>7.5275600000000011</v>
      </c>
      <c r="O29" s="62">
        <f t="shared" si="7"/>
        <v>8.9659999999999975</v>
      </c>
      <c r="P29" s="62">
        <f t="shared" si="7"/>
        <v>20.800000000000004</v>
      </c>
      <c r="Q29" s="62">
        <f t="shared" si="7"/>
        <v>1.2710000000000004</v>
      </c>
      <c r="R29" s="62">
        <f t="shared" si="7"/>
        <v>2.9462999999999999</v>
      </c>
      <c r="S29" s="62">
        <f t="shared" si="7"/>
        <v>17.832000000000001</v>
      </c>
      <c r="T29" s="62">
        <f t="shared" si="7"/>
        <v>11.991699999999998</v>
      </c>
      <c r="U29" s="62">
        <f t="shared" si="7"/>
        <v>3.1999999999999993</v>
      </c>
      <c r="V29" s="62">
        <f t="shared" si="7"/>
        <v>20.055400000000002</v>
      </c>
      <c r="W29" s="62">
        <f t="shared" si="7"/>
        <v>0.58799999999999986</v>
      </c>
      <c r="X29" s="62">
        <f t="shared" si="7"/>
        <v>13.885200000000001</v>
      </c>
      <c r="Y29" s="62">
        <f t="shared" si="7"/>
        <v>120.43299999999999</v>
      </c>
      <c r="Z29" s="62">
        <f t="shared" si="7"/>
        <v>3.9240599999999999</v>
      </c>
      <c r="AA29" s="62">
        <f t="shared" si="7"/>
        <v>9.1999999999999998E-2</v>
      </c>
      <c r="AB29" s="62">
        <f t="shared" si="7"/>
        <v>5.620000000000001</v>
      </c>
      <c r="AC29" s="62">
        <f t="shared" si="7"/>
        <v>4.4622000000000011</v>
      </c>
      <c r="AD29" s="62">
        <f t="shared" si="7"/>
        <v>4.1399999999999997</v>
      </c>
      <c r="AE29" s="62">
        <f t="shared" si="7"/>
        <v>27.127600000000001</v>
      </c>
      <c r="AF29" s="62">
        <f t="shared" si="7"/>
        <v>13.603199999999999</v>
      </c>
      <c r="AG29" s="62">
        <f t="shared" si="7"/>
        <v>8.3179999999999978</v>
      </c>
      <c r="AH29" s="63">
        <f t="shared" ref="AH29:AH30" si="8">SUM(D29:AG29)</f>
        <v>474.62271999999996</v>
      </c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</row>
    <row r="30" spans="1:47" ht="15.75" customHeight="1" x14ac:dyDescent="0.25">
      <c r="A30" s="29"/>
      <c r="B30" s="61" t="s">
        <v>181</v>
      </c>
      <c r="C30" s="38"/>
      <c r="D30" s="64">
        <f t="shared" ref="D30:AG30" si="9">D28-D27</f>
        <v>6.7875000000000005</v>
      </c>
      <c r="E30" s="64">
        <f t="shared" si="9"/>
        <v>0.82800000000000007</v>
      </c>
      <c r="F30" s="64" t="e">
        <f t="shared" si="9"/>
        <v>#VALUE!</v>
      </c>
      <c r="G30" s="64">
        <f t="shared" si="9"/>
        <v>6.7026000000000003</v>
      </c>
      <c r="H30" s="64" t="e">
        <f t="shared" si="9"/>
        <v>#VALUE!</v>
      </c>
      <c r="I30" s="64">
        <f t="shared" si="9"/>
        <v>0.28349999999999997</v>
      </c>
      <c r="J30" s="64">
        <f t="shared" si="9"/>
        <v>11.970000000000002</v>
      </c>
      <c r="K30" s="64">
        <f t="shared" si="9"/>
        <v>33.994</v>
      </c>
      <c r="L30" s="64">
        <f t="shared" si="9"/>
        <v>77.693364000000017</v>
      </c>
      <c r="M30" s="64">
        <f t="shared" si="9"/>
        <v>0.86499999999999999</v>
      </c>
      <c r="N30" s="64">
        <f t="shared" si="9"/>
        <v>6.4163999999999994</v>
      </c>
      <c r="O30" s="64">
        <f t="shared" si="9"/>
        <v>4.107499999999999</v>
      </c>
      <c r="P30" s="64">
        <f t="shared" si="9"/>
        <v>43.698400000000007</v>
      </c>
      <c r="Q30" s="64">
        <f t="shared" si="9"/>
        <v>0.8279000000000003</v>
      </c>
      <c r="R30" s="64">
        <f t="shared" si="9"/>
        <v>6.1600000000000057E-3</v>
      </c>
      <c r="S30" s="64">
        <f t="shared" si="9"/>
        <v>13.864999999999998</v>
      </c>
      <c r="T30" s="64">
        <f t="shared" si="9"/>
        <v>13.553500000000001</v>
      </c>
      <c r="U30" s="64">
        <f t="shared" si="9"/>
        <v>0.46439999999999992</v>
      </c>
      <c r="V30" s="64">
        <f t="shared" si="9"/>
        <v>16.177</v>
      </c>
      <c r="W30" s="64">
        <f t="shared" si="9"/>
        <v>0.61289999999999978</v>
      </c>
      <c r="X30" s="64">
        <f t="shared" si="9"/>
        <v>2.2824</v>
      </c>
      <c r="Y30" s="64">
        <f t="shared" si="9"/>
        <v>201.87799999999999</v>
      </c>
      <c r="Z30" s="64">
        <f t="shared" si="9"/>
        <v>3.4238399999999998</v>
      </c>
      <c r="AA30" s="64">
        <f t="shared" si="9"/>
        <v>7.1000000000000008E-2</v>
      </c>
      <c r="AB30" s="64" t="e">
        <f t="shared" si="9"/>
        <v>#VALUE!</v>
      </c>
      <c r="AC30" s="64">
        <f t="shared" si="9"/>
        <v>2.2934999999999999</v>
      </c>
      <c r="AD30" s="64">
        <f t="shared" si="9"/>
        <v>7.3019999999999996</v>
      </c>
      <c r="AE30" s="64">
        <f t="shared" si="9"/>
        <v>55.949100000000001</v>
      </c>
      <c r="AF30" s="64">
        <f t="shared" si="9"/>
        <v>8.1123000000000012</v>
      </c>
      <c r="AG30" s="64">
        <f t="shared" si="9"/>
        <v>6.6193999999999988</v>
      </c>
      <c r="AH30" s="36" t="e">
        <f t="shared" si="8"/>
        <v>#VALUE!</v>
      </c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</row>
    <row r="31" spans="1:47" ht="15.75" customHeight="1" x14ac:dyDescent="0.25">
      <c r="A31" s="29"/>
      <c r="B31" s="29" t="s">
        <v>182</v>
      </c>
      <c r="C31" s="35"/>
      <c r="D31" s="35">
        <f t="shared" ref="D31:AG31" si="10">D16-(D16*(D12/100))</f>
        <v>8.3230000000000004</v>
      </c>
      <c r="E31" s="35">
        <f t="shared" si="10"/>
        <v>0.58500000000000019</v>
      </c>
      <c r="F31" s="35">
        <f t="shared" si="10"/>
        <v>10.373999999999999</v>
      </c>
      <c r="G31" s="35">
        <f t="shared" si="10"/>
        <v>7.5659999999999989</v>
      </c>
      <c r="H31" s="35">
        <f t="shared" si="10"/>
        <v>18.067</v>
      </c>
      <c r="I31" s="35">
        <f t="shared" si="10"/>
        <v>4.500000000000004E-2</v>
      </c>
      <c r="J31" s="35">
        <f t="shared" si="10"/>
        <v>11.483999999999998</v>
      </c>
      <c r="K31" s="35">
        <f t="shared" si="10"/>
        <v>85.8005</v>
      </c>
      <c r="L31" s="35">
        <f t="shared" si="10"/>
        <v>73.975999999999999</v>
      </c>
      <c r="M31" s="35">
        <f t="shared" si="10"/>
        <v>0.73640000000000017</v>
      </c>
      <c r="N31" s="35">
        <f t="shared" si="10"/>
        <v>3.7839999999999989</v>
      </c>
      <c r="O31" s="35">
        <f t="shared" si="10"/>
        <v>6.9559999999999995</v>
      </c>
      <c r="P31" s="35">
        <f t="shared" si="10"/>
        <v>14.100000000000001</v>
      </c>
      <c r="Q31" s="35">
        <f t="shared" si="10"/>
        <v>1.081</v>
      </c>
      <c r="R31" s="35">
        <f t="shared" si="10"/>
        <v>3.7687999999999997</v>
      </c>
      <c r="S31" s="35">
        <f t="shared" si="10"/>
        <v>20.48</v>
      </c>
      <c r="T31" s="35">
        <f t="shared" si="10"/>
        <v>16.079699999999999</v>
      </c>
      <c r="U31" s="35">
        <f t="shared" si="10"/>
        <v>2.34</v>
      </c>
      <c r="V31" s="35">
        <f t="shared" si="10"/>
        <v>13.805400000000002</v>
      </c>
      <c r="W31" s="35">
        <f t="shared" si="10"/>
        <v>1.2150000000000001</v>
      </c>
      <c r="X31" s="35">
        <f t="shared" si="10"/>
        <v>21.373200000000001</v>
      </c>
      <c r="Y31" s="35">
        <f t="shared" si="10"/>
        <v>90.752999999999986</v>
      </c>
      <c r="Z31" s="35">
        <f t="shared" si="10"/>
        <v>4.3054199999999998</v>
      </c>
      <c r="AA31" s="35">
        <f t="shared" si="10"/>
        <v>3.2000000000000001E-2</v>
      </c>
      <c r="AB31" s="35">
        <f t="shared" si="10"/>
        <v>2.9600000000000009</v>
      </c>
      <c r="AC31" s="35">
        <f t="shared" si="10"/>
        <v>5.5039999999999996</v>
      </c>
      <c r="AD31" s="35">
        <f t="shared" si="10"/>
        <v>2.8500000000000005</v>
      </c>
      <c r="AE31" s="35">
        <f t="shared" si="10"/>
        <v>14.817599999999999</v>
      </c>
      <c r="AF31" s="35">
        <f t="shared" si="10"/>
        <v>9.8832000000000004</v>
      </c>
      <c r="AG31" s="35">
        <f t="shared" si="10"/>
        <v>6.3079999999999998</v>
      </c>
      <c r="AH31" s="30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</row>
    <row r="32" spans="1:47" ht="15.75" customHeight="1" x14ac:dyDescent="0.25">
      <c r="A32" s="29"/>
      <c r="B32" s="29" t="s">
        <v>183</v>
      </c>
      <c r="C32" s="34"/>
      <c r="D32" s="34">
        <f t="shared" ref="D32:AG32" si="11">D17-(D17*(D13/100))</f>
        <v>4.9860000000000007</v>
      </c>
      <c r="E32" s="34">
        <f t="shared" si="11"/>
        <v>0</v>
      </c>
      <c r="F32" s="34">
        <f t="shared" si="11"/>
        <v>4.854000000000001</v>
      </c>
      <c r="G32" s="34">
        <f t="shared" si="11"/>
        <v>0</v>
      </c>
      <c r="H32" s="34">
        <f t="shared" si="11"/>
        <v>2.4209999999999994</v>
      </c>
      <c r="I32" s="34">
        <f t="shared" si="11"/>
        <v>0</v>
      </c>
      <c r="J32" s="34">
        <f t="shared" si="11"/>
        <v>0</v>
      </c>
      <c r="K32" s="34">
        <f t="shared" si="11"/>
        <v>49.981400000000008</v>
      </c>
      <c r="L32" s="34">
        <f t="shared" si="11"/>
        <v>38.215000000000003</v>
      </c>
      <c r="M32" s="34">
        <f t="shared" si="11"/>
        <v>0</v>
      </c>
      <c r="N32" s="34">
        <f t="shared" si="11"/>
        <v>7.6439999999998065E-2</v>
      </c>
      <c r="O32" s="34">
        <f t="shared" si="11"/>
        <v>0</v>
      </c>
      <c r="P32" s="34">
        <f t="shared" si="11"/>
        <v>0</v>
      </c>
      <c r="Q32" s="34">
        <f t="shared" si="11"/>
        <v>0</v>
      </c>
      <c r="R32" s="34">
        <f t="shared" si="11"/>
        <v>1.5925000000000002</v>
      </c>
      <c r="S32" s="34">
        <f t="shared" si="11"/>
        <v>7.3379999999999974</v>
      </c>
      <c r="T32" s="34">
        <f t="shared" si="11"/>
        <v>7.5480000000000018</v>
      </c>
      <c r="U32" s="34">
        <f t="shared" si="11"/>
        <v>0</v>
      </c>
      <c r="V32" s="34">
        <f t="shared" si="11"/>
        <v>0</v>
      </c>
      <c r="W32" s="34">
        <f t="shared" si="11"/>
        <v>1.0170000000000003</v>
      </c>
      <c r="X32" s="34">
        <f t="shared" si="11"/>
        <v>13.008000000000003</v>
      </c>
      <c r="Y32" s="34">
        <f t="shared" si="11"/>
        <v>0</v>
      </c>
      <c r="Z32" s="34">
        <f t="shared" si="11"/>
        <v>1.3613600000000003</v>
      </c>
      <c r="AA32" s="34">
        <f t="shared" si="11"/>
        <v>0</v>
      </c>
      <c r="AB32" s="34">
        <f t="shared" si="11"/>
        <v>0</v>
      </c>
      <c r="AC32" s="34">
        <f t="shared" si="11"/>
        <v>2.1317999999999993</v>
      </c>
      <c r="AD32" s="34">
        <f t="shared" si="11"/>
        <v>0</v>
      </c>
      <c r="AE32" s="34">
        <f t="shared" si="11"/>
        <v>0</v>
      </c>
      <c r="AF32" s="34">
        <f t="shared" si="11"/>
        <v>0</v>
      </c>
      <c r="AG32" s="34">
        <f t="shared" si="11"/>
        <v>0</v>
      </c>
      <c r="AH32" s="30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</row>
    <row r="33" spans="1:47" ht="13.2" x14ac:dyDescent="0.25">
      <c r="A33" s="29"/>
      <c r="B33" s="29" t="s">
        <v>184</v>
      </c>
      <c r="C33" s="35"/>
      <c r="D33" s="35">
        <f t="shared" ref="D33:AG33" si="12">IF(ISBLANK(D14),"",(D16-D27))</f>
        <v>12.977499999999999</v>
      </c>
      <c r="E33" s="35">
        <f t="shared" si="12"/>
        <v>0.83500000000000019</v>
      </c>
      <c r="F33" s="35" t="str">
        <f t="shared" si="12"/>
        <v/>
      </c>
      <c r="G33" s="35">
        <f t="shared" si="12"/>
        <v>22.290600000000001</v>
      </c>
      <c r="H33" s="35" t="str">
        <f t="shared" si="12"/>
        <v/>
      </c>
      <c r="I33" s="35">
        <f t="shared" si="12"/>
        <v>0.89550000000000007</v>
      </c>
      <c r="J33" s="35">
        <f t="shared" si="12"/>
        <v>25.52</v>
      </c>
      <c r="K33" s="35">
        <f t="shared" si="12"/>
        <v>103.83499999999999</v>
      </c>
      <c r="L33" s="35">
        <f t="shared" si="12"/>
        <v>121.532</v>
      </c>
      <c r="M33" s="35">
        <f t="shared" si="12"/>
        <v>2.0999999999999996</v>
      </c>
      <c r="N33" s="35">
        <f t="shared" si="12"/>
        <v>21.706399999999999</v>
      </c>
      <c r="O33" s="35">
        <f t="shared" si="12"/>
        <v>13.024000000000001</v>
      </c>
      <c r="P33" s="35">
        <f t="shared" si="12"/>
        <v>36.998400000000004</v>
      </c>
      <c r="Q33" s="35">
        <f t="shared" si="12"/>
        <v>1.2604</v>
      </c>
      <c r="R33" s="35">
        <f t="shared" si="12"/>
        <v>5.5551999999999992</v>
      </c>
      <c r="S33" s="35">
        <f t="shared" si="12"/>
        <v>27.52</v>
      </c>
      <c r="T33" s="35">
        <f t="shared" si="12"/>
        <v>16.383499999999998</v>
      </c>
      <c r="U33" s="35">
        <f t="shared" si="12"/>
        <v>2.3919999999999999</v>
      </c>
      <c r="V33" s="35">
        <f t="shared" si="12"/>
        <v>28.718</v>
      </c>
      <c r="W33" s="35">
        <f t="shared" si="12"/>
        <v>1.5449999999999999</v>
      </c>
      <c r="X33" s="35">
        <f t="shared" si="12"/>
        <v>25.38</v>
      </c>
      <c r="Y33" s="35">
        <f t="shared" si="12"/>
        <v>172.19799999999998</v>
      </c>
      <c r="Z33" s="35">
        <f t="shared" si="12"/>
        <v>3.8051999999999997</v>
      </c>
      <c r="AA33" s="35">
        <f t="shared" si="12"/>
        <v>7.6000000000000012E-2</v>
      </c>
      <c r="AB33" s="35" t="str">
        <f t="shared" si="12"/>
        <v/>
      </c>
      <c r="AC33" s="35">
        <f t="shared" si="12"/>
        <v>8.4710000000000001</v>
      </c>
      <c r="AD33" s="35">
        <f t="shared" si="12"/>
        <v>8.17</v>
      </c>
      <c r="AE33" s="35">
        <f t="shared" si="12"/>
        <v>63.866599999999991</v>
      </c>
      <c r="AF33" s="35">
        <f t="shared" si="12"/>
        <v>19.404299999999999</v>
      </c>
      <c r="AG33" s="35">
        <f t="shared" si="12"/>
        <v>10.192400000000001</v>
      </c>
      <c r="AH33" s="30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</row>
    <row r="34" spans="1:47" ht="13.2" x14ac:dyDescent="0.25">
      <c r="A34" s="34"/>
      <c r="B34" s="29" t="s">
        <v>185</v>
      </c>
      <c r="C34" s="35"/>
      <c r="D34" s="35">
        <f t="shared" ref="D34:AG34" si="13">IF(ISBLANK(D15),"",(D17-D28))</f>
        <v>8.31</v>
      </c>
      <c r="E34" s="35">
        <f t="shared" si="13"/>
        <v>0.27700000000000014</v>
      </c>
      <c r="F34" s="35">
        <f t="shared" si="13"/>
        <v>9.7079999999999984</v>
      </c>
      <c r="G34" s="35">
        <f t="shared" si="13"/>
        <v>20.268000000000001</v>
      </c>
      <c r="H34" s="35">
        <f t="shared" si="13"/>
        <v>13.073399999999999</v>
      </c>
      <c r="I34" s="35">
        <f t="shared" si="13"/>
        <v>0.67199999999999993</v>
      </c>
      <c r="J34" s="35">
        <f t="shared" si="13"/>
        <v>18.350000000000001</v>
      </c>
      <c r="K34" s="35">
        <f t="shared" si="13"/>
        <v>92.070999999999998</v>
      </c>
      <c r="L34" s="35">
        <f t="shared" si="13"/>
        <v>64.598635999999999</v>
      </c>
      <c r="M34" s="35">
        <f t="shared" si="13"/>
        <v>1.5649999999999999</v>
      </c>
      <c r="N34" s="35">
        <f t="shared" si="13"/>
        <v>19.11</v>
      </c>
      <c r="O34" s="35">
        <f t="shared" si="13"/>
        <v>10.926500000000001</v>
      </c>
      <c r="P34" s="35">
        <f t="shared" si="13"/>
        <v>0</v>
      </c>
      <c r="Q34" s="35">
        <f t="shared" si="13"/>
        <v>0.62250000000000005</v>
      </c>
      <c r="R34" s="35" t="str">
        <f t="shared" si="13"/>
        <v/>
      </c>
      <c r="S34" s="35">
        <f t="shared" si="13"/>
        <v>18.344999999999999</v>
      </c>
      <c r="T34" s="35">
        <f t="shared" si="13"/>
        <v>6.2899999999999991</v>
      </c>
      <c r="U34" s="35" t="str">
        <f t="shared" si="13"/>
        <v/>
      </c>
      <c r="V34" s="35">
        <f t="shared" si="13"/>
        <v>18.791</v>
      </c>
      <c r="W34" s="35">
        <f t="shared" si="13"/>
        <v>1.3221000000000003</v>
      </c>
      <c r="X34" s="35">
        <f t="shared" si="13"/>
        <v>28.617600000000003</v>
      </c>
      <c r="Y34" s="35">
        <f t="shared" si="13"/>
        <v>0</v>
      </c>
      <c r="Z34" s="35">
        <f t="shared" si="13"/>
        <v>1.3613600000000003</v>
      </c>
      <c r="AA34" s="35">
        <f t="shared" si="13"/>
        <v>6.5000000000000002E-2</v>
      </c>
      <c r="AB34" s="35" t="str">
        <f t="shared" si="13"/>
        <v/>
      </c>
      <c r="AC34" s="35">
        <f t="shared" si="13"/>
        <v>7.2675000000000001</v>
      </c>
      <c r="AD34" s="35">
        <f t="shared" si="13"/>
        <v>2.1579999999999995</v>
      </c>
      <c r="AE34" s="35">
        <f t="shared" si="13"/>
        <v>20.227499999999999</v>
      </c>
      <c r="AF34" s="35">
        <f t="shared" si="13"/>
        <v>15.011999999999999</v>
      </c>
      <c r="AG34" s="35">
        <f t="shared" si="13"/>
        <v>5.5830000000000002</v>
      </c>
      <c r="AH34" s="30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</row>
    <row r="35" spans="1:47" ht="13.2" x14ac:dyDescent="0.25">
      <c r="A35" s="65"/>
      <c r="B35" s="66" t="s">
        <v>186</v>
      </c>
      <c r="C35" s="67"/>
      <c r="D35" s="67">
        <f t="shared" ref="D35:AG35" si="14">IF(D31="","",(D31-D32))</f>
        <v>3.3369999999999997</v>
      </c>
      <c r="E35" s="67">
        <f t="shared" si="14"/>
        <v>0.58500000000000019</v>
      </c>
      <c r="F35" s="67">
        <f t="shared" si="14"/>
        <v>5.5199999999999978</v>
      </c>
      <c r="G35" s="67">
        <f t="shared" si="14"/>
        <v>7.5659999999999989</v>
      </c>
      <c r="H35" s="67">
        <f t="shared" si="14"/>
        <v>15.646000000000001</v>
      </c>
      <c r="I35" s="67">
        <f t="shared" si="14"/>
        <v>4.500000000000004E-2</v>
      </c>
      <c r="J35" s="67">
        <f t="shared" si="14"/>
        <v>11.483999999999998</v>
      </c>
      <c r="K35" s="67">
        <f t="shared" si="14"/>
        <v>35.819099999999992</v>
      </c>
      <c r="L35" s="67">
        <f t="shared" si="14"/>
        <v>35.760999999999996</v>
      </c>
      <c r="M35" s="67">
        <f t="shared" si="14"/>
        <v>0.73640000000000017</v>
      </c>
      <c r="N35" s="67">
        <f t="shared" si="14"/>
        <v>3.7075600000000009</v>
      </c>
      <c r="O35" s="67">
        <f t="shared" si="14"/>
        <v>6.9559999999999995</v>
      </c>
      <c r="P35" s="67">
        <f t="shared" si="14"/>
        <v>14.100000000000001</v>
      </c>
      <c r="Q35" s="67">
        <f t="shared" si="14"/>
        <v>1.081</v>
      </c>
      <c r="R35" s="67">
        <f t="shared" si="14"/>
        <v>2.1762999999999995</v>
      </c>
      <c r="S35" s="67">
        <f t="shared" si="14"/>
        <v>13.142000000000003</v>
      </c>
      <c r="T35" s="67">
        <f t="shared" si="14"/>
        <v>8.5316999999999972</v>
      </c>
      <c r="U35" s="67">
        <f t="shared" si="14"/>
        <v>2.34</v>
      </c>
      <c r="V35" s="67">
        <f t="shared" si="14"/>
        <v>13.805400000000002</v>
      </c>
      <c r="W35" s="67">
        <f t="shared" si="14"/>
        <v>0.19799999999999973</v>
      </c>
      <c r="X35" s="67">
        <f t="shared" si="14"/>
        <v>8.365199999999998</v>
      </c>
      <c r="Y35" s="67">
        <f t="shared" si="14"/>
        <v>90.752999999999986</v>
      </c>
      <c r="Z35" s="67">
        <f t="shared" si="14"/>
        <v>2.9440599999999995</v>
      </c>
      <c r="AA35" s="67">
        <f t="shared" si="14"/>
        <v>3.2000000000000001E-2</v>
      </c>
      <c r="AB35" s="67">
        <f t="shared" si="14"/>
        <v>2.9600000000000009</v>
      </c>
      <c r="AC35" s="67">
        <f t="shared" si="14"/>
        <v>3.3722000000000003</v>
      </c>
      <c r="AD35" s="67">
        <f t="shared" si="14"/>
        <v>2.8500000000000005</v>
      </c>
      <c r="AE35" s="67">
        <f t="shared" si="14"/>
        <v>14.817599999999999</v>
      </c>
      <c r="AF35" s="67">
        <f t="shared" si="14"/>
        <v>9.8832000000000004</v>
      </c>
      <c r="AG35" s="67">
        <f t="shared" si="14"/>
        <v>6.3079999999999998</v>
      </c>
      <c r="AH35" s="68">
        <f t="shared" ref="AH35:AH36" si="15">SUM(D35:AG35)</f>
        <v>324.82271999999989</v>
      </c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</row>
    <row r="36" spans="1:47" ht="13.2" x14ac:dyDescent="0.25">
      <c r="A36" s="29"/>
      <c r="B36" s="61" t="s">
        <v>187</v>
      </c>
      <c r="C36" s="47"/>
      <c r="D36" s="67">
        <f t="shared" ref="D36:AG36" si="16">IF(D33="","",(D33-D34))</f>
        <v>4.6674999999999986</v>
      </c>
      <c r="E36" s="67">
        <f t="shared" si="16"/>
        <v>0.55800000000000005</v>
      </c>
      <c r="F36" s="67" t="str">
        <f t="shared" si="16"/>
        <v/>
      </c>
      <c r="G36" s="67">
        <f t="shared" si="16"/>
        <v>2.0226000000000006</v>
      </c>
      <c r="H36" s="67" t="str">
        <f t="shared" si="16"/>
        <v/>
      </c>
      <c r="I36" s="67">
        <f t="shared" si="16"/>
        <v>0.22350000000000014</v>
      </c>
      <c r="J36" s="67">
        <f t="shared" si="16"/>
        <v>7.1699999999999982</v>
      </c>
      <c r="K36" s="67">
        <f t="shared" si="16"/>
        <v>11.763999999999996</v>
      </c>
      <c r="L36" s="67">
        <f t="shared" si="16"/>
        <v>56.933363999999997</v>
      </c>
      <c r="M36" s="67">
        <f t="shared" si="16"/>
        <v>0.5349999999999997</v>
      </c>
      <c r="N36" s="67">
        <f t="shared" si="16"/>
        <v>2.5963999999999992</v>
      </c>
      <c r="O36" s="67">
        <f t="shared" si="16"/>
        <v>2.0975000000000001</v>
      </c>
      <c r="P36" s="67">
        <f t="shared" si="16"/>
        <v>36.998400000000004</v>
      </c>
      <c r="Q36" s="67">
        <f t="shared" si="16"/>
        <v>0.63789999999999991</v>
      </c>
      <c r="R36" s="67" t="e">
        <f t="shared" si="16"/>
        <v>#VALUE!</v>
      </c>
      <c r="S36" s="67">
        <f t="shared" si="16"/>
        <v>9.1750000000000007</v>
      </c>
      <c r="T36" s="67">
        <f t="shared" si="16"/>
        <v>10.093499999999999</v>
      </c>
      <c r="U36" s="67" t="e">
        <f t="shared" si="16"/>
        <v>#VALUE!</v>
      </c>
      <c r="V36" s="67">
        <f t="shared" si="16"/>
        <v>9.9269999999999996</v>
      </c>
      <c r="W36" s="67">
        <f t="shared" si="16"/>
        <v>0.22289999999999965</v>
      </c>
      <c r="X36" s="67">
        <f t="shared" si="16"/>
        <v>-3.237600000000004</v>
      </c>
      <c r="Y36" s="67">
        <f t="shared" si="16"/>
        <v>172.19799999999998</v>
      </c>
      <c r="Z36" s="67">
        <f t="shared" si="16"/>
        <v>2.4438399999999993</v>
      </c>
      <c r="AA36" s="67">
        <f t="shared" si="16"/>
        <v>1.100000000000001E-2</v>
      </c>
      <c r="AB36" s="67" t="str">
        <f t="shared" si="16"/>
        <v/>
      </c>
      <c r="AC36" s="67">
        <f t="shared" si="16"/>
        <v>1.2035</v>
      </c>
      <c r="AD36" s="67">
        <f t="shared" si="16"/>
        <v>6.0120000000000005</v>
      </c>
      <c r="AE36" s="67">
        <f t="shared" si="16"/>
        <v>43.639099999999992</v>
      </c>
      <c r="AF36" s="67">
        <f t="shared" si="16"/>
        <v>4.3923000000000005</v>
      </c>
      <c r="AG36" s="67">
        <f t="shared" si="16"/>
        <v>4.6094000000000008</v>
      </c>
      <c r="AH36" s="68" t="e">
        <f t="shared" si="15"/>
        <v>#VALUE!</v>
      </c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</row>
    <row r="37" spans="1:47" ht="13.2" x14ac:dyDescent="0.25">
      <c r="A37" s="29"/>
      <c r="B37" s="29"/>
      <c r="C37" s="47"/>
      <c r="D37" s="47"/>
      <c r="E37" s="47"/>
      <c r="F37" s="47"/>
      <c r="G37" s="47"/>
      <c r="H37" s="47"/>
      <c r="I37" s="47"/>
      <c r="J37" s="47"/>
      <c r="K37" s="49"/>
      <c r="L37" s="47"/>
      <c r="M37" s="47"/>
      <c r="N37" s="47"/>
      <c r="O37" s="47"/>
      <c r="P37" s="47"/>
      <c r="Q37" s="47"/>
      <c r="R37" s="49"/>
      <c r="S37" s="47"/>
      <c r="T37" s="47"/>
      <c r="U37" s="47"/>
      <c r="V37" s="47"/>
      <c r="W37" s="47"/>
      <c r="X37" s="47"/>
      <c r="Y37" s="47"/>
      <c r="Z37" s="47"/>
      <c r="AA37" s="48"/>
      <c r="AB37" s="47"/>
      <c r="AC37" s="47"/>
      <c r="AD37" s="47"/>
      <c r="AE37" s="47"/>
      <c r="AF37" s="47"/>
      <c r="AG37" s="47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</row>
    <row r="38" spans="1:47" ht="13.2" x14ac:dyDescent="0.25">
      <c r="A38" s="29"/>
      <c r="B38" s="29" t="s">
        <v>188</v>
      </c>
      <c r="C38" s="50"/>
      <c r="D38" s="50" t="str">
        <f t="shared" ref="D38:AG38" si="17">IF(ISBLANK(D20),"",(D21/D20))</f>
        <v/>
      </c>
      <c r="E38" s="50" t="str">
        <f t="shared" si="17"/>
        <v/>
      </c>
      <c r="F38" s="50" t="str">
        <f t="shared" si="17"/>
        <v/>
      </c>
      <c r="G38" s="50" t="str">
        <f t="shared" si="17"/>
        <v/>
      </c>
      <c r="H38" s="50">
        <f t="shared" si="17"/>
        <v>2251732.101616628</v>
      </c>
      <c r="I38" s="50" t="str">
        <f t="shared" si="17"/>
        <v/>
      </c>
      <c r="J38" s="50">
        <f t="shared" si="17"/>
        <v>6157205.2401746726</v>
      </c>
      <c r="K38" s="50" t="str">
        <f t="shared" si="17"/>
        <v/>
      </c>
      <c r="L38" s="50" t="str">
        <f t="shared" si="17"/>
        <v/>
      </c>
      <c r="M38" s="50" t="str">
        <f t="shared" si="17"/>
        <v/>
      </c>
      <c r="N38" s="50" t="str">
        <f t="shared" si="17"/>
        <v/>
      </c>
      <c r="O38" s="50">
        <f t="shared" si="17"/>
        <v>3535955.5025824392</v>
      </c>
      <c r="P38" s="50">
        <f t="shared" si="17"/>
        <v>5748872.1804511277</v>
      </c>
      <c r="Q38" s="50" t="str">
        <f t="shared" si="17"/>
        <v/>
      </c>
      <c r="R38" s="50" t="str">
        <f t="shared" si="17"/>
        <v/>
      </c>
      <c r="S38" s="50" t="str">
        <f t="shared" si="17"/>
        <v/>
      </c>
      <c r="T38" s="50">
        <f t="shared" si="17"/>
        <v>6485849.0566037735</v>
      </c>
      <c r="U38" s="50" t="str">
        <f t="shared" si="17"/>
        <v/>
      </c>
      <c r="V38" s="50">
        <f t="shared" si="17"/>
        <v>6006451.6129032262</v>
      </c>
      <c r="W38" s="50">
        <f t="shared" si="17"/>
        <v>3885462.5550660794</v>
      </c>
      <c r="X38" s="50" t="str">
        <f t="shared" si="17"/>
        <v/>
      </c>
      <c r="Y38" s="50" t="str">
        <f t="shared" si="17"/>
        <v/>
      </c>
      <c r="Z38" s="50">
        <f t="shared" si="17"/>
        <v>3908906.1970877075</v>
      </c>
      <c r="AA38" s="50">
        <f t="shared" si="17"/>
        <v>4950000</v>
      </c>
      <c r="AB38" s="50" t="str">
        <f t="shared" si="17"/>
        <v/>
      </c>
      <c r="AC38" s="50" t="str">
        <f t="shared" si="17"/>
        <v/>
      </c>
      <c r="AD38" s="50">
        <f t="shared" si="17"/>
        <v>14418344.517897092</v>
      </c>
      <c r="AE38" s="50">
        <f t="shared" si="17"/>
        <v>1520527.1160669031</v>
      </c>
      <c r="AF38" s="50">
        <f t="shared" si="17"/>
        <v>1916129.0322580645</v>
      </c>
      <c r="AG38" s="50" t="str">
        <f t="shared" si="17"/>
        <v/>
      </c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</row>
    <row r="39" spans="1:47" ht="13.2" x14ac:dyDescent="0.25">
      <c r="A39" s="29"/>
      <c r="B39" s="29" t="s">
        <v>189</v>
      </c>
      <c r="D39" s="37" t="str">
        <f t="shared" ref="D39:AG39" si="18">IF(ISBLANK(D20),"",(D20/D21))</f>
        <v/>
      </c>
      <c r="E39" s="37" t="str">
        <f t="shared" si="18"/>
        <v/>
      </c>
      <c r="F39" s="37" t="str">
        <f t="shared" si="18"/>
        <v/>
      </c>
      <c r="G39" s="37" t="str">
        <f t="shared" si="18"/>
        <v/>
      </c>
      <c r="H39" s="37">
        <f t="shared" si="18"/>
        <v>4.4410256410256409E-7</v>
      </c>
      <c r="I39" s="37" t="str">
        <f t="shared" si="18"/>
        <v/>
      </c>
      <c r="J39" s="37">
        <f t="shared" si="18"/>
        <v>1.6241134751773049E-7</v>
      </c>
      <c r="K39" s="37" t="str">
        <f t="shared" si="18"/>
        <v/>
      </c>
      <c r="L39" s="37" t="str">
        <f t="shared" si="18"/>
        <v/>
      </c>
      <c r="M39" s="37" t="str">
        <f t="shared" si="18"/>
        <v/>
      </c>
      <c r="N39" s="37" t="str">
        <f t="shared" si="18"/>
        <v/>
      </c>
      <c r="O39" s="37">
        <f t="shared" si="18"/>
        <v>2.8280898876404496E-7</v>
      </c>
      <c r="P39" s="37">
        <f t="shared" si="18"/>
        <v>1.7394716191472665E-7</v>
      </c>
      <c r="Q39" s="37" t="str">
        <f t="shared" si="18"/>
        <v/>
      </c>
      <c r="R39" s="37" t="str">
        <f t="shared" si="18"/>
        <v/>
      </c>
      <c r="S39" s="37" t="str">
        <f t="shared" si="18"/>
        <v/>
      </c>
      <c r="T39" s="37">
        <f t="shared" si="18"/>
        <v>1.5418181818181819E-7</v>
      </c>
      <c r="U39" s="37" t="str">
        <f t="shared" si="18"/>
        <v/>
      </c>
      <c r="V39" s="37">
        <f t="shared" si="18"/>
        <v>1.664876476906552E-7</v>
      </c>
      <c r="W39" s="37">
        <f t="shared" si="18"/>
        <v>2.5736961451247167E-7</v>
      </c>
      <c r="X39" s="37" t="str">
        <f t="shared" si="18"/>
        <v/>
      </c>
      <c r="Y39" s="37" t="str">
        <f t="shared" si="18"/>
        <v/>
      </c>
      <c r="Z39" s="37">
        <f t="shared" si="18"/>
        <v>2.5582604175690893E-7</v>
      </c>
      <c r="AA39" s="37">
        <f t="shared" si="18"/>
        <v>2.0202020202020202E-7</v>
      </c>
      <c r="AB39" s="37" t="str">
        <f t="shared" si="18"/>
        <v/>
      </c>
      <c r="AC39" s="37" t="str">
        <f t="shared" si="18"/>
        <v/>
      </c>
      <c r="AD39" s="37">
        <f t="shared" si="18"/>
        <v>6.9356089997622654E-8</v>
      </c>
      <c r="AE39" s="37">
        <f t="shared" si="18"/>
        <v>6.5766666666666667E-7</v>
      </c>
      <c r="AF39" s="37">
        <f t="shared" si="18"/>
        <v>5.2188552188552183E-7</v>
      </c>
      <c r="AG39" s="37" t="str">
        <f t="shared" si="18"/>
        <v/>
      </c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</row>
    <row r="40" spans="1:47" ht="13.2" x14ac:dyDescent="0.25">
      <c r="A40" s="29"/>
      <c r="B40" s="29" t="s">
        <v>190</v>
      </c>
      <c r="D40" s="37" t="str">
        <f t="shared" ref="D40:AG40" si="19">IF(ISBLANK(D20),"",(D20/D21)*1000000000)</f>
        <v/>
      </c>
      <c r="E40" s="37" t="str">
        <f t="shared" si="19"/>
        <v/>
      </c>
      <c r="F40" s="37" t="str">
        <f t="shared" si="19"/>
        <v/>
      </c>
      <c r="G40" s="37" t="str">
        <f t="shared" si="19"/>
        <v/>
      </c>
      <c r="H40" s="37">
        <f t="shared" si="19"/>
        <v>444.10256410256409</v>
      </c>
      <c r="I40" s="37" t="str">
        <f t="shared" si="19"/>
        <v/>
      </c>
      <c r="J40" s="37">
        <f t="shared" si="19"/>
        <v>162.41134751773049</v>
      </c>
      <c r="K40" s="37" t="str">
        <f t="shared" si="19"/>
        <v/>
      </c>
      <c r="L40" s="37" t="str">
        <f t="shared" si="19"/>
        <v/>
      </c>
      <c r="M40" s="37" t="str">
        <f t="shared" si="19"/>
        <v/>
      </c>
      <c r="N40" s="37" t="str">
        <f t="shared" si="19"/>
        <v/>
      </c>
      <c r="O40" s="37">
        <f t="shared" si="19"/>
        <v>282.80898876404495</v>
      </c>
      <c r="P40" s="37">
        <f t="shared" si="19"/>
        <v>173.94716191472665</v>
      </c>
      <c r="Q40" s="37" t="str">
        <f t="shared" si="19"/>
        <v/>
      </c>
      <c r="R40" s="37" t="str">
        <f t="shared" si="19"/>
        <v/>
      </c>
      <c r="S40" s="37" t="str">
        <f t="shared" si="19"/>
        <v/>
      </c>
      <c r="T40" s="37">
        <f t="shared" si="19"/>
        <v>154.18181818181819</v>
      </c>
      <c r="U40" s="37" t="str">
        <f t="shared" si="19"/>
        <v/>
      </c>
      <c r="V40" s="37">
        <f t="shared" si="19"/>
        <v>166.48764769065519</v>
      </c>
      <c r="W40" s="37">
        <f t="shared" si="19"/>
        <v>257.36961451247168</v>
      </c>
      <c r="X40" s="37" t="str">
        <f t="shared" si="19"/>
        <v/>
      </c>
      <c r="Y40" s="37" t="str">
        <f t="shared" si="19"/>
        <v/>
      </c>
      <c r="Z40" s="37">
        <f t="shared" si="19"/>
        <v>255.82604175690892</v>
      </c>
      <c r="AA40" s="37">
        <f t="shared" si="19"/>
        <v>202.02020202020202</v>
      </c>
      <c r="AB40" s="37" t="str">
        <f t="shared" si="19"/>
        <v/>
      </c>
      <c r="AC40" s="37" t="str">
        <f t="shared" si="19"/>
        <v/>
      </c>
      <c r="AD40" s="37">
        <f t="shared" si="19"/>
        <v>69.356089997622661</v>
      </c>
      <c r="AE40" s="37">
        <f t="shared" si="19"/>
        <v>657.66666666666663</v>
      </c>
      <c r="AF40" s="37">
        <f t="shared" si="19"/>
        <v>521.88552188552183</v>
      </c>
      <c r="AG40" s="37" t="str">
        <f t="shared" si="19"/>
        <v/>
      </c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</row>
    <row r="41" spans="1:47" ht="13.2" x14ac:dyDescent="0.25">
      <c r="A41" s="29"/>
      <c r="B41" s="29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</row>
    <row r="42" spans="1:47" ht="13.2" x14ac:dyDescent="0.25">
      <c r="A42" s="29" t="s">
        <v>191</v>
      </c>
      <c r="B42" s="24" t="s">
        <v>154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</row>
    <row r="43" spans="1:47" ht="13.2" x14ac:dyDescent="0.25">
      <c r="A43" s="29" t="s">
        <v>192</v>
      </c>
      <c r="B43" s="24" t="s">
        <v>155</v>
      </c>
      <c r="C43" s="38"/>
      <c r="D43" s="3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</row>
    <row r="44" spans="1:47" ht="13.2" x14ac:dyDescent="0.25">
      <c r="A44" s="29" t="s">
        <v>193</v>
      </c>
      <c r="B44" s="26" t="s">
        <v>156</v>
      </c>
      <c r="C44" s="38"/>
      <c r="D44" s="3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</row>
    <row r="45" spans="1:47" ht="13.2" x14ac:dyDescent="0.25">
      <c r="A45" s="29" t="s">
        <v>194</v>
      </c>
      <c r="B45" s="26" t="s">
        <v>157</v>
      </c>
      <c r="C45" s="38"/>
      <c r="D45" s="3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</row>
    <row r="46" spans="1:47" ht="13.2" x14ac:dyDescent="0.25">
      <c r="A46" s="29" t="s">
        <v>191</v>
      </c>
      <c r="B46" s="28" t="s">
        <v>159</v>
      </c>
      <c r="C46" s="38"/>
      <c r="D46" s="3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</row>
    <row r="47" spans="1:47" ht="13.2" x14ac:dyDescent="0.25">
      <c r="A47" s="29" t="s">
        <v>192</v>
      </c>
      <c r="B47" s="28" t="s">
        <v>160</v>
      </c>
      <c r="C47" s="38"/>
      <c r="D47" s="3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</row>
    <row r="48" spans="1:47" ht="13.2" x14ac:dyDescent="0.25">
      <c r="A48" s="29" t="s">
        <v>195</v>
      </c>
      <c r="B48" s="26" t="s">
        <v>161</v>
      </c>
      <c r="C48" s="38"/>
      <c r="D48" s="3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</row>
    <row r="49" spans="1:47" ht="13.2" x14ac:dyDescent="0.25">
      <c r="A49" s="29" t="s">
        <v>196</v>
      </c>
      <c r="B49" s="26" t="s">
        <v>162</v>
      </c>
      <c r="C49" s="38"/>
      <c r="D49" s="3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</row>
    <row r="50" spans="1:47" ht="13.2" x14ac:dyDescent="0.25">
      <c r="A50" s="29"/>
      <c r="B50" s="29"/>
      <c r="C50" s="38"/>
      <c r="D50" s="3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</row>
    <row r="51" spans="1:47" ht="13.2" x14ac:dyDescent="0.25">
      <c r="A51" s="29"/>
      <c r="B51" s="29"/>
      <c r="C51" s="38"/>
      <c r="D51" s="3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</row>
    <row r="52" spans="1:47" ht="13.2" x14ac:dyDescent="0.25">
      <c r="A52" s="29"/>
      <c r="B52" s="29"/>
      <c r="C52" s="38"/>
      <c r="D52" s="3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</row>
    <row r="53" spans="1:47" ht="13.2" x14ac:dyDescent="0.25">
      <c r="A53" s="29"/>
      <c r="B53" s="29"/>
      <c r="C53" s="38"/>
      <c r="D53" s="3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</row>
    <row r="54" spans="1:47" ht="13.2" x14ac:dyDescent="0.25">
      <c r="A54" s="29"/>
      <c r="B54" s="29"/>
      <c r="C54" s="38"/>
      <c r="D54" s="3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</row>
    <row r="55" spans="1:47" ht="13.2" x14ac:dyDescent="0.25">
      <c r="A55" s="29"/>
      <c r="B55" s="29"/>
      <c r="C55" s="38"/>
      <c r="D55" s="3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</row>
    <row r="56" spans="1:47" ht="13.2" x14ac:dyDescent="0.25">
      <c r="A56" s="29"/>
      <c r="B56" s="29"/>
      <c r="C56" s="38"/>
      <c r="D56" s="3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</row>
    <row r="57" spans="1:47" ht="13.2" x14ac:dyDescent="0.25">
      <c r="A57" s="29"/>
      <c r="B57" s="29"/>
      <c r="C57" s="38"/>
      <c r="D57" s="3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</row>
    <row r="58" spans="1:47" ht="13.2" x14ac:dyDescent="0.25">
      <c r="A58" s="29"/>
      <c r="B58" s="29"/>
      <c r="C58" s="38"/>
      <c r="D58" s="3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</row>
    <row r="59" spans="1:47" ht="13.2" x14ac:dyDescent="0.25">
      <c r="A59" s="29"/>
      <c r="B59" s="29"/>
      <c r="C59" s="38"/>
      <c r="D59" s="3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</row>
    <row r="60" spans="1:47" ht="13.2" x14ac:dyDescent="0.25">
      <c r="A60" s="29"/>
      <c r="B60" s="29"/>
      <c r="C60" s="38"/>
      <c r="D60" s="3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</row>
    <row r="61" spans="1:47" ht="13.2" x14ac:dyDescent="0.25">
      <c r="A61" s="29"/>
      <c r="B61" s="29"/>
      <c r="C61" s="38"/>
      <c r="D61" s="3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</row>
    <row r="62" spans="1:47" ht="13.2" x14ac:dyDescent="0.25">
      <c r="A62" s="29"/>
      <c r="B62" s="29"/>
      <c r="C62" s="38"/>
      <c r="D62" s="3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</row>
    <row r="63" spans="1:47" ht="13.2" x14ac:dyDescent="0.25">
      <c r="A63" s="29"/>
      <c r="B63" s="29"/>
      <c r="C63" s="38"/>
      <c r="D63" s="3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</row>
    <row r="64" spans="1:47" ht="13.2" x14ac:dyDescent="0.25">
      <c r="A64" s="29"/>
      <c r="B64" s="29"/>
      <c r="C64" s="38"/>
      <c r="D64" s="3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</row>
    <row r="65" spans="1:47" ht="13.2" x14ac:dyDescent="0.25">
      <c r="A65" s="29"/>
      <c r="B65" s="29"/>
      <c r="C65" s="38"/>
      <c r="D65" s="3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</row>
    <row r="66" spans="1:47" ht="13.2" x14ac:dyDescent="0.25">
      <c r="A66" s="29"/>
      <c r="B66" s="29"/>
      <c r="C66" s="38"/>
      <c r="D66" s="3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</row>
    <row r="67" spans="1:47" ht="13.2" x14ac:dyDescent="0.25">
      <c r="A67" s="29"/>
      <c r="B67" s="29"/>
      <c r="C67" s="38"/>
      <c r="D67" s="3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</row>
    <row r="68" spans="1:47" ht="13.2" x14ac:dyDescent="0.25">
      <c r="A68" s="29"/>
      <c r="B68" s="29"/>
      <c r="C68" s="38"/>
      <c r="D68" s="3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</row>
    <row r="69" spans="1:47" ht="13.2" x14ac:dyDescent="0.25">
      <c r="A69" s="29"/>
      <c r="B69" s="29"/>
      <c r="C69" s="38"/>
      <c r="D69" s="3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</row>
    <row r="70" spans="1:47" ht="13.2" x14ac:dyDescent="0.25">
      <c r="A70" s="29"/>
      <c r="B70" s="29"/>
      <c r="C70" s="38"/>
      <c r="D70" s="3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</row>
    <row r="71" spans="1:47" ht="13.2" x14ac:dyDescent="0.25">
      <c r="A71" s="29"/>
      <c r="B71" s="29"/>
      <c r="C71" s="38"/>
      <c r="D71" s="3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</row>
    <row r="72" spans="1:47" ht="13.2" x14ac:dyDescent="0.25">
      <c r="A72" s="29"/>
      <c r="B72" s="29"/>
      <c r="C72" s="38"/>
      <c r="D72" s="3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</row>
    <row r="73" spans="1:47" ht="13.2" x14ac:dyDescent="0.25">
      <c r="A73" s="29"/>
      <c r="B73" s="29"/>
      <c r="C73" s="38"/>
      <c r="D73" s="3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</row>
    <row r="74" spans="1:47" ht="13.2" x14ac:dyDescent="0.25">
      <c r="A74" s="29"/>
      <c r="B74" s="29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</row>
    <row r="75" spans="1:47" ht="13.2" x14ac:dyDescent="0.25">
      <c r="A75" s="29"/>
      <c r="B75" s="29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</row>
    <row r="76" spans="1:47" ht="13.2" x14ac:dyDescent="0.25">
      <c r="A76" s="29"/>
      <c r="B76" s="29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</row>
    <row r="77" spans="1:47" ht="13.2" x14ac:dyDescent="0.25">
      <c r="A77" s="29"/>
      <c r="B77" s="29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</row>
    <row r="78" spans="1:47" ht="13.2" x14ac:dyDescent="0.25">
      <c r="A78" s="29"/>
      <c r="B78" s="29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</row>
    <row r="79" spans="1:47" ht="13.2" x14ac:dyDescent="0.25">
      <c r="A79" s="29"/>
      <c r="B79" s="29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</row>
    <row r="80" spans="1:47" ht="13.2" x14ac:dyDescent="0.25">
      <c r="A80" s="29"/>
      <c r="B80" s="29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</row>
    <row r="81" spans="1:47" ht="13.2" x14ac:dyDescent="0.25">
      <c r="A81" s="29"/>
      <c r="B81" s="29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</row>
    <row r="82" spans="1:47" ht="13.2" x14ac:dyDescent="0.25">
      <c r="A82" s="29"/>
      <c r="B82" s="29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</row>
    <row r="83" spans="1:47" ht="13.2" x14ac:dyDescent="0.25">
      <c r="A83" s="29"/>
      <c r="B83" s="29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</row>
    <row r="84" spans="1:47" ht="13.2" x14ac:dyDescent="0.25">
      <c r="A84" s="29"/>
      <c r="B84" s="29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</row>
    <row r="85" spans="1:47" ht="13.2" x14ac:dyDescent="0.25">
      <c r="A85" s="29"/>
      <c r="B85" s="29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</row>
    <row r="86" spans="1:47" ht="13.2" x14ac:dyDescent="0.25">
      <c r="A86" s="29"/>
      <c r="B86" s="29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</row>
    <row r="87" spans="1:47" ht="13.2" x14ac:dyDescent="0.25">
      <c r="A87" s="29"/>
      <c r="B87" s="29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</row>
    <row r="88" spans="1:47" ht="13.2" x14ac:dyDescent="0.25">
      <c r="A88" s="29"/>
      <c r="B88" s="29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</row>
    <row r="89" spans="1:47" ht="13.2" x14ac:dyDescent="0.25">
      <c r="A89" s="29"/>
      <c r="B89" s="29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</row>
    <row r="90" spans="1:47" ht="13.2" x14ac:dyDescent="0.25">
      <c r="A90" s="29"/>
      <c r="B90" s="29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</row>
    <row r="91" spans="1:47" ht="13.2" x14ac:dyDescent="0.25">
      <c r="A91" s="29"/>
      <c r="B91" s="29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</row>
    <row r="92" spans="1:47" ht="13.2" x14ac:dyDescent="0.25">
      <c r="A92" s="29"/>
      <c r="B92" s="29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</row>
    <row r="93" spans="1:47" ht="13.2" x14ac:dyDescent="0.25">
      <c r="A93" s="29"/>
      <c r="B93" s="29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</row>
    <row r="94" spans="1:47" ht="13.2" x14ac:dyDescent="0.25">
      <c r="A94" s="29"/>
      <c r="B94" s="29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</row>
    <row r="95" spans="1:47" ht="13.2" x14ac:dyDescent="0.25">
      <c r="A95" s="29"/>
      <c r="B95" s="29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</row>
    <row r="96" spans="1:47" ht="13.2" x14ac:dyDescent="0.25">
      <c r="A96" s="29"/>
      <c r="B96" s="29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</row>
    <row r="97" spans="1:47" ht="13.2" x14ac:dyDescent="0.25">
      <c r="A97" s="29"/>
      <c r="B97" s="29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</row>
    <row r="98" spans="1:47" ht="13.2" x14ac:dyDescent="0.25">
      <c r="A98" s="29"/>
      <c r="B98" s="29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</row>
    <row r="99" spans="1:47" ht="13.2" x14ac:dyDescent="0.25">
      <c r="A99" s="29"/>
      <c r="B99" s="29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</row>
    <row r="100" spans="1:47" ht="13.2" x14ac:dyDescent="0.25">
      <c r="A100" s="29"/>
      <c r="B100" s="29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</row>
    <row r="101" spans="1:47" ht="13.2" x14ac:dyDescent="0.25">
      <c r="A101" s="29"/>
      <c r="B101" s="29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</row>
    <row r="102" spans="1:47" ht="13.2" x14ac:dyDescent="0.25">
      <c r="A102" s="29"/>
      <c r="B102" s="29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</row>
    <row r="103" spans="1:47" ht="13.2" x14ac:dyDescent="0.25">
      <c r="A103" s="29"/>
      <c r="B103" s="29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</row>
    <row r="104" spans="1:47" ht="13.2" x14ac:dyDescent="0.25">
      <c r="A104" s="29"/>
      <c r="B104" s="29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</row>
    <row r="105" spans="1:47" ht="13.2" x14ac:dyDescent="0.25">
      <c r="A105" s="29"/>
      <c r="B105" s="29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</row>
    <row r="106" spans="1:47" ht="13.2" x14ac:dyDescent="0.25">
      <c r="A106" s="29"/>
      <c r="B106" s="29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</row>
    <row r="107" spans="1:47" ht="13.2" x14ac:dyDescent="0.25">
      <c r="A107" s="29"/>
      <c r="B107" s="29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</row>
    <row r="108" spans="1:47" ht="13.2" x14ac:dyDescent="0.25">
      <c r="A108" s="29"/>
      <c r="B108" s="29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</row>
    <row r="109" spans="1:47" ht="13.2" x14ac:dyDescent="0.25">
      <c r="A109" s="29"/>
      <c r="B109" s="29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</row>
    <row r="110" spans="1:47" ht="13.2" x14ac:dyDescent="0.25">
      <c r="A110" s="29"/>
      <c r="B110" s="29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</row>
    <row r="111" spans="1:47" ht="13.2" x14ac:dyDescent="0.25">
      <c r="A111" s="29"/>
      <c r="B111" s="29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</row>
    <row r="112" spans="1:47" ht="13.2" x14ac:dyDescent="0.25">
      <c r="A112" s="29"/>
      <c r="B112" s="29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</row>
    <row r="113" spans="1:47" ht="13.2" x14ac:dyDescent="0.25">
      <c r="A113" s="29"/>
      <c r="B113" s="29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</row>
    <row r="114" spans="1:47" ht="13.2" x14ac:dyDescent="0.25">
      <c r="A114" s="29"/>
      <c r="B114" s="29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</row>
    <row r="115" spans="1:47" ht="13.2" x14ac:dyDescent="0.25">
      <c r="A115" s="29"/>
      <c r="B115" s="29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</row>
    <row r="116" spans="1:47" ht="13.2" x14ac:dyDescent="0.25">
      <c r="A116" s="29"/>
      <c r="B116" s="29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</row>
    <row r="117" spans="1:47" ht="13.2" x14ac:dyDescent="0.25">
      <c r="A117" s="29"/>
      <c r="B117" s="29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</row>
    <row r="118" spans="1:47" ht="13.2" x14ac:dyDescent="0.25">
      <c r="A118" s="29"/>
      <c r="B118" s="29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</row>
    <row r="119" spans="1:47" ht="13.2" x14ac:dyDescent="0.25">
      <c r="A119" s="29"/>
      <c r="B119" s="29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</row>
    <row r="120" spans="1:47" ht="13.2" x14ac:dyDescent="0.25">
      <c r="A120" s="29"/>
      <c r="B120" s="29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</row>
    <row r="121" spans="1:47" ht="13.2" x14ac:dyDescent="0.25">
      <c r="A121" s="29"/>
      <c r="B121" s="29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</row>
    <row r="122" spans="1:47" ht="13.2" x14ac:dyDescent="0.25">
      <c r="A122" s="29"/>
      <c r="B122" s="29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</row>
    <row r="123" spans="1:47" ht="13.2" x14ac:dyDescent="0.25">
      <c r="A123" s="29"/>
      <c r="B123" s="29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</row>
    <row r="124" spans="1:47" ht="13.2" x14ac:dyDescent="0.25">
      <c r="A124" s="29"/>
      <c r="B124" s="29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</row>
    <row r="125" spans="1:47" ht="13.2" x14ac:dyDescent="0.25">
      <c r="A125" s="29"/>
      <c r="B125" s="29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</row>
    <row r="126" spans="1:47" ht="13.2" x14ac:dyDescent="0.25">
      <c r="A126" s="29"/>
      <c r="B126" s="29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</row>
    <row r="127" spans="1:47" ht="13.2" x14ac:dyDescent="0.25">
      <c r="A127" s="29"/>
      <c r="B127" s="29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</row>
    <row r="128" spans="1:47" ht="13.2" x14ac:dyDescent="0.25">
      <c r="A128" s="29"/>
      <c r="B128" s="29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</row>
    <row r="129" spans="1:47" ht="13.2" x14ac:dyDescent="0.25">
      <c r="A129" s="29"/>
      <c r="B129" s="29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</row>
    <row r="130" spans="1:47" ht="13.2" x14ac:dyDescent="0.25">
      <c r="A130" s="29"/>
      <c r="B130" s="29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</row>
    <row r="131" spans="1:47" ht="13.2" x14ac:dyDescent="0.25">
      <c r="A131" s="29"/>
      <c r="B131" s="29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</row>
    <row r="132" spans="1:47" ht="13.2" x14ac:dyDescent="0.25">
      <c r="A132" s="29"/>
      <c r="B132" s="29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</row>
    <row r="133" spans="1:47" ht="13.2" x14ac:dyDescent="0.25">
      <c r="A133" s="29"/>
      <c r="B133" s="29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</row>
    <row r="134" spans="1:47" ht="13.2" x14ac:dyDescent="0.25">
      <c r="A134" s="29"/>
      <c r="B134" s="29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</row>
    <row r="135" spans="1:47" ht="13.2" x14ac:dyDescent="0.25">
      <c r="A135" s="29"/>
      <c r="B135" s="29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</row>
    <row r="136" spans="1:47" ht="13.2" x14ac:dyDescent="0.25">
      <c r="A136" s="29"/>
      <c r="B136" s="29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</row>
    <row r="137" spans="1:47" ht="13.2" x14ac:dyDescent="0.25">
      <c r="A137" s="29"/>
      <c r="B137" s="29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</row>
    <row r="138" spans="1:47" ht="13.2" x14ac:dyDescent="0.25">
      <c r="A138" s="29"/>
      <c r="B138" s="29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</row>
    <row r="139" spans="1:47" ht="13.2" x14ac:dyDescent="0.25">
      <c r="A139" s="29"/>
      <c r="B139" s="29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</row>
    <row r="140" spans="1:47" ht="13.2" x14ac:dyDescent="0.25">
      <c r="A140" s="29"/>
      <c r="B140" s="29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</row>
    <row r="141" spans="1:47" ht="13.2" x14ac:dyDescent="0.25">
      <c r="A141" s="29"/>
      <c r="B141" s="29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</row>
    <row r="142" spans="1:47" ht="13.2" x14ac:dyDescent="0.25">
      <c r="A142" s="29"/>
      <c r="B142" s="29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</row>
    <row r="143" spans="1:47" ht="13.2" x14ac:dyDescent="0.25">
      <c r="A143" s="29"/>
      <c r="B143" s="29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</row>
    <row r="144" spans="1:47" ht="13.2" x14ac:dyDescent="0.25">
      <c r="A144" s="29"/>
      <c r="B144" s="29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</row>
    <row r="145" spans="1:47" ht="13.2" x14ac:dyDescent="0.25">
      <c r="A145" s="29"/>
      <c r="B145" s="29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</row>
    <row r="146" spans="1:47" ht="13.2" x14ac:dyDescent="0.25">
      <c r="A146" s="29"/>
      <c r="B146" s="29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</row>
    <row r="147" spans="1:47" ht="13.2" x14ac:dyDescent="0.25">
      <c r="A147" s="29"/>
      <c r="B147" s="29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</row>
    <row r="148" spans="1:47" ht="13.2" x14ac:dyDescent="0.25">
      <c r="A148" s="29"/>
      <c r="B148" s="29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</row>
    <row r="149" spans="1:47" ht="13.2" x14ac:dyDescent="0.25">
      <c r="A149" s="29"/>
      <c r="B149" s="29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</row>
    <row r="150" spans="1:47" ht="13.2" x14ac:dyDescent="0.25">
      <c r="A150" s="29"/>
      <c r="B150" s="29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</row>
    <row r="151" spans="1:47" ht="13.2" x14ac:dyDescent="0.25">
      <c r="A151" s="29"/>
      <c r="B151" s="29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</row>
    <row r="152" spans="1:47" ht="13.2" x14ac:dyDescent="0.25">
      <c r="A152" s="29"/>
      <c r="B152" s="29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</row>
    <row r="153" spans="1:47" ht="13.2" x14ac:dyDescent="0.25">
      <c r="A153" s="29"/>
      <c r="B153" s="29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</row>
    <row r="154" spans="1:47" ht="13.2" x14ac:dyDescent="0.25">
      <c r="A154" s="29"/>
      <c r="B154" s="29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</row>
    <row r="155" spans="1:47" ht="13.2" x14ac:dyDescent="0.25">
      <c r="A155" s="29"/>
      <c r="B155" s="29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</row>
    <row r="156" spans="1:47" ht="13.2" x14ac:dyDescent="0.25">
      <c r="A156" s="29"/>
      <c r="B156" s="29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</row>
    <row r="157" spans="1:47" ht="13.2" x14ac:dyDescent="0.25">
      <c r="A157" s="29"/>
      <c r="B157" s="29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</row>
    <row r="158" spans="1:47" ht="13.2" x14ac:dyDescent="0.25">
      <c r="A158" s="29"/>
      <c r="B158" s="29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</row>
    <row r="159" spans="1:47" ht="13.2" x14ac:dyDescent="0.25">
      <c r="A159" s="29"/>
      <c r="B159" s="29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</row>
    <row r="160" spans="1:47" ht="13.2" x14ac:dyDescent="0.25">
      <c r="A160" s="29"/>
      <c r="B160" s="29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</row>
    <row r="161" spans="1:47" ht="13.2" x14ac:dyDescent="0.25">
      <c r="A161" s="29"/>
      <c r="B161" s="29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</row>
    <row r="162" spans="1:47" ht="13.2" x14ac:dyDescent="0.25">
      <c r="A162" s="29"/>
      <c r="B162" s="29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</row>
    <row r="163" spans="1:47" ht="13.2" x14ac:dyDescent="0.25">
      <c r="A163" s="29"/>
      <c r="B163" s="29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</row>
    <row r="164" spans="1:47" ht="13.2" x14ac:dyDescent="0.25">
      <c r="A164" s="29"/>
      <c r="B164" s="29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</row>
    <row r="165" spans="1:47" ht="13.2" x14ac:dyDescent="0.25">
      <c r="A165" s="29"/>
      <c r="B165" s="29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</row>
    <row r="166" spans="1:47" ht="13.2" x14ac:dyDescent="0.25">
      <c r="A166" s="29"/>
      <c r="B166" s="29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</row>
    <row r="167" spans="1:47" ht="13.2" x14ac:dyDescent="0.25">
      <c r="A167" s="29"/>
      <c r="B167" s="29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</row>
    <row r="168" spans="1:47" ht="13.2" x14ac:dyDescent="0.25">
      <c r="A168" s="29"/>
      <c r="B168" s="29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</row>
    <row r="169" spans="1:47" ht="13.2" x14ac:dyDescent="0.25">
      <c r="A169" s="29"/>
      <c r="B169" s="29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</row>
    <row r="170" spans="1:47" ht="13.2" x14ac:dyDescent="0.25">
      <c r="A170" s="29"/>
      <c r="B170" s="29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</row>
    <row r="171" spans="1:47" ht="13.2" x14ac:dyDescent="0.25">
      <c r="A171" s="29"/>
      <c r="B171" s="29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</row>
    <row r="172" spans="1:47" ht="13.2" x14ac:dyDescent="0.25">
      <c r="A172" s="29"/>
      <c r="B172" s="29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</row>
    <row r="173" spans="1:47" ht="13.2" x14ac:dyDescent="0.25">
      <c r="A173" s="29"/>
      <c r="B173" s="29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</row>
    <row r="174" spans="1:47" ht="13.2" x14ac:dyDescent="0.25">
      <c r="A174" s="29"/>
      <c r="B174" s="29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</row>
    <row r="175" spans="1:47" ht="13.2" x14ac:dyDescent="0.25">
      <c r="A175" s="29"/>
      <c r="B175" s="29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</row>
    <row r="176" spans="1:47" ht="13.2" x14ac:dyDescent="0.25">
      <c r="A176" s="29"/>
      <c r="B176" s="29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</row>
    <row r="177" spans="1:47" ht="13.2" x14ac:dyDescent="0.25">
      <c r="A177" s="29"/>
      <c r="B177" s="29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</row>
    <row r="178" spans="1:47" ht="13.2" x14ac:dyDescent="0.25">
      <c r="A178" s="29"/>
      <c r="B178" s="29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</row>
    <row r="179" spans="1:47" ht="13.2" x14ac:dyDescent="0.25">
      <c r="A179" s="29"/>
      <c r="B179" s="29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</row>
    <row r="180" spans="1:47" ht="13.2" x14ac:dyDescent="0.25">
      <c r="A180" s="29"/>
      <c r="B180" s="29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</row>
    <row r="181" spans="1:47" ht="13.2" x14ac:dyDescent="0.25">
      <c r="A181" s="29"/>
      <c r="B181" s="29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</row>
    <row r="182" spans="1:47" ht="13.2" x14ac:dyDescent="0.25">
      <c r="A182" s="29"/>
      <c r="B182" s="29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</row>
    <row r="183" spans="1:47" ht="13.2" x14ac:dyDescent="0.25">
      <c r="A183" s="29"/>
      <c r="B183" s="29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</row>
    <row r="184" spans="1:47" ht="13.2" x14ac:dyDescent="0.25">
      <c r="A184" s="29"/>
      <c r="B184" s="29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</row>
    <row r="185" spans="1:47" ht="13.2" x14ac:dyDescent="0.25">
      <c r="A185" s="29"/>
      <c r="B185" s="29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</row>
    <row r="186" spans="1:47" ht="13.2" x14ac:dyDescent="0.25">
      <c r="A186" s="29"/>
      <c r="B186" s="29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</row>
    <row r="187" spans="1:47" ht="13.2" x14ac:dyDescent="0.25">
      <c r="A187" s="29"/>
      <c r="B187" s="29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</row>
    <row r="188" spans="1:47" ht="13.2" x14ac:dyDescent="0.25">
      <c r="A188" s="29"/>
      <c r="B188" s="29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</row>
    <row r="189" spans="1:47" ht="13.2" x14ac:dyDescent="0.25">
      <c r="A189" s="29"/>
      <c r="B189" s="29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</row>
    <row r="190" spans="1:47" ht="13.2" x14ac:dyDescent="0.25">
      <c r="A190" s="29"/>
      <c r="B190" s="29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</row>
    <row r="191" spans="1:47" ht="13.2" x14ac:dyDescent="0.25">
      <c r="A191" s="29"/>
      <c r="B191" s="29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</row>
    <row r="192" spans="1:47" ht="13.2" x14ac:dyDescent="0.25">
      <c r="A192" s="29"/>
      <c r="B192" s="29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</row>
    <row r="193" spans="1:47" ht="13.2" x14ac:dyDescent="0.25">
      <c r="A193" s="29"/>
      <c r="B193" s="29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</row>
    <row r="194" spans="1:47" ht="13.2" x14ac:dyDescent="0.25">
      <c r="A194" s="29"/>
      <c r="B194" s="29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</row>
    <row r="195" spans="1:47" ht="13.2" x14ac:dyDescent="0.25">
      <c r="A195" s="29"/>
      <c r="B195" s="29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</row>
    <row r="196" spans="1:47" ht="13.2" x14ac:dyDescent="0.25">
      <c r="A196" s="29"/>
      <c r="B196" s="29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</row>
    <row r="197" spans="1:47" ht="13.2" x14ac:dyDescent="0.25">
      <c r="A197" s="29"/>
      <c r="B197" s="29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</row>
    <row r="198" spans="1:47" ht="13.2" x14ac:dyDescent="0.25">
      <c r="A198" s="29"/>
      <c r="B198" s="29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</row>
    <row r="199" spans="1:47" ht="13.2" x14ac:dyDescent="0.25">
      <c r="A199" s="29"/>
      <c r="B199" s="29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</row>
    <row r="200" spans="1:47" ht="13.2" x14ac:dyDescent="0.25">
      <c r="A200" s="29"/>
      <c r="B200" s="29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</row>
    <row r="201" spans="1:47" ht="13.2" x14ac:dyDescent="0.25">
      <c r="A201" s="29"/>
      <c r="B201" s="29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</row>
    <row r="202" spans="1:47" ht="13.2" x14ac:dyDescent="0.25">
      <c r="A202" s="29"/>
      <c r="B202" s="29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</row>
    <row r="203" spans="1:47" ht="13.2" x14ac:dyDescent="0.25">
      <c r="A203" s="29"/>
      <c r="B203" s="29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</row>
    <row r="204" spans="1:47" ht="13.2" x14ac:dyDescent="0.25">
      <c r="A204" s="29"/>
      <c r="B204" s="29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</row>
    <row r="205" spans="1:47" ht="13.2" x14ac:dyDescent="0.25">
      <c r="A205" s="29"/>
      <c r="B205" s="29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</row>
    <row r="206" spans="1:47" ht="13.2" x14ac:dyDescent="0.25">
      <c r="A206" s="29"/>
      <c r="B206" s="29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</row>
    <row r="207" spans="1:47" ht="13.2" x14ac:dyDescent="0.25">
      <c r="A207" s="29"/>
      <c r="B207" s="29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</row>
    <row r="208" spans="1:47" ht="13.2" x14ac:dyDescent="0.25">
      <c r="A208" s="29"/>
      <c r="B208" s="29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</row>
    <row r="209" spans="1:47" ht="13.2" x14ac:dyDescent="0.25">
      <c r="A209" s="29"/>
      <c r="B209" s="29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</row>
    <row r="210" spans="1:47" ht="13.2" x14ac:dyDescent="0.25">
      <c r="A210" s="29"/>
      <c r="B210" s="29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</row>
    <row r="211" spans="1:47" ht="13.2" x14ac:dyDescent="0.25">
      <c r="A211" s="29"/>
      <c r="B211" s="29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</row>
    <row r="212" spans="1:47" ht="13.2" x14ac:dyDescent="0.25">
      <c r="A212" s="29"/>
      <c r="B212" s="29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</row>
    <row r="213" spans="1:47" ht="13.2" x14ac:dyDescent="0.25">
      <c r="A213" s="29"/>
      <c r="B213" s="29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</row>
    <row r="214" spans="1:47" ht="13.2" x14ac:dyDescent="0.25">
      <c r="A214" s="29"/>
      <c r="B214" s="29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</row>
    <row r="215" spans="1:47" ht="13.2" x14ac:dyDescent="0.25">
      <c r="A215" s="29"/>
      <c r="B215" s="29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</row>
    <row r="216" spans="1:47" ht="13.2" x14ac:dyDescent="0.25">
      <c r="A216" s="29"/>
      <c r="B216" s="29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</row>
    <row r="217" spans="1:47" ht="13.2" x14ac:dyDescent="0.25">
      <c r="A217" s="29"/>
      <c r="B217" s="29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</row>
    <row r="218" spans="1:47" ht="13.2" x14ac:dyDescent="0.25">
      <c r="A218" s="29"/>
      <c r="B218" s="29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</row>
    <row r="219" spans="1:47" ht="13.2" x14ac:dyDescent="0.25">
      <c r="A219" s="29"/>
      <c r="B219" s="29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</row>
    <row r="220" spans="1:47" ht="13.2" x14ac:dyDescent="0.25">
      <c r="A220" s="29"/>
      <c r="B220" s="29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</row>
    <row r="221" spans="1:47" ht="13.2" x14ac:dyDescent="0.25">
      <c r="A221" s="29"/>
      <c r="B221" s="29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</row>
    <row r="222" spans="1:47" ht="13.2" x14ac:dyDescent="0.25">
      <c r="A222" s="29"/>
      <c r="B222" s="29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</row>
    <row r="223" spans="1:47" ht="13.2" x14ac:dyDescent="0.25">
      <c r="A223" s="29"/>
      <c r="B223" s="29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</row>
    <row r="224" spans="1:47" ht="13.2" x14ac:dyDescent="0.25">
      <c r="A224" s="29"/>
      <c r="B224" s="29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</row>
    <row r="225" spans="1:47" ht="13.2" x14ac:dyDescent="0.25">
      <c r="A225" s="29"/>
      <c r="B225" s="29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</row>
    <row r="226" spans="1:47" ht="13.2" x14ac:dyDescent="0.25">
      <c r="A226" s="29"/>
      <c r="B226" s="29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</row>
    <row r="227" spans="1:47" ht="13.2" x14ac:dyDescent="0.25">
      <c r="A227" s="29"/>
      <c r="B227" s="29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</row>
    <row r="228" spans="1:47" ht="13.2" x14ac:dyDescent="0.25">
      <c r="A228" s="29"/>
      <c r="B228" s="29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</row>
    <row r="229" spans="1:47" ht="13.2" x14ac:dyDescent="0.25">
      <c r="A229" s="29"/>
      <c r="B229" s="29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</row>
    <row r="230" spans="1:47" ht="13.2" x14ac:dyDescent="0.25">
      <c r="A230" s="29"/>
      <c r="B230" s="29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</row>
    <row r="231" spans="1:47" ht="13.2" x14ac:dyDescent="0.25">
      <c r="A231" s="29"/>
      <c r="B231" s="29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</row>
    <row r="232" spans="1:47" ht="13.2" x14ac:dyDescent="0.25">
      <c r="A232" s="29"/>
      <c r="B232" s="29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</row>
    <row r="233" spans="1:47" ht="13.2" x14ac:dyDescent="0.25">
      <c r="A233" s="29"/>
      <c r="B233" s="29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</row>
    <row r="234" spans="1:47" ht="13.2" x14ac:dyDescent="0.25">
      <c r="A234" s="29"/>
      <c r="B234" s="29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</row>
    <row r="235" spans="1:47" ht="13.2" x14ac:dyDescent="0.25">
      <c r="A235" s="29"/>
      <c r="B235" s="29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</row>
    <row r="236" spans="1:47" ht="13.2" x14ac:dyDescent="0.25">
      <c r="A236" s="29"/>
      <c r="B236" s="29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</row>
    <row r="237" spans="1:47" ht="13.2" x14ac:dyDescent="0.25">
      <c r="A237" s="29"/>
      <c r="B237" s="29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</row>
    <row r="238" spans="1:47" ht="13.2" x14ac:dyDescent="0.25">
      <c r="A238" s="29"/>
      <c r="B238" s="29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</row>
    <row r="239" spans="1:47" ht="13.2" x14ac:dyDescent="0.25">
      <c r="A239" s="29"/>
      <c r="B239" s="29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</row>
    <row r="240" spans="1:47" ht="13.2" x14ac:dyDescent="0.25">
      <c r="A240" s="29"/>
      <c r="B240" s="29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</row>
    <row r="241" spans="1:47" ht="13.2" x14ac:dyDescent="0.25">
      <c r="A241" s="29"/>
      <c r="B241" s="29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</row>
    <row r="242" spans="1:47" ht="13.2" x14ac:dyDescent="0.25">
      <c r="A242" s="29"/>
      <c r="B242" s="29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</row>
    <row r="243" spans="1:47" ht="13.2" x14ac:dyDescent="0.25">
      <c r="A243" s="29"/>
      <c r="B243" s="29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</row>
    <row r="244" spans="1:47" ht="13.2" x14ac:dyDescent="0.25">
      <c r="A244" s="29"/>
      <c r="B244" s="29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</row>
    <row r="245" spans="1:47" ht="13.2" x14ac:dyDescent="0.25">
      <c r="A245" s="29"/>
      <c r="B245" s="29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</row>
    <row r="246" spans="1:47" ht="13.2" x14ac:dyDescent="0.25">
      <c r="A246" s="29"/>
      <c r="B246" s="29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</row>
    <row r="247" spans="1:47" ht="13.2" x14ac:dyDescent="0.25">
      <c r="A247" s="29"/>
      <c r="B247" s="29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</row>
    <row r="248" spans="1:47" ht="13.2" x14ac:dyDescent="0.25">
      <c r="A248" s="29"/>
      <c r="B248" s="29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</row>
    <row r="249" spans="1:47" ht="13.2" x14ac:dyDescent="0.25">
      <c r="A249" s="29"/>
      <c r="B249" s="29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</row>
    <row r="250" spans="1:47" ht="13.2" x14ac:dyDescent="0.25">
      <c r="A250" s="29"/>
      <c r="B250" s="29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</row>
    <row r="251" spans="1:47" ht="13.2" x14ac:dyDescent="0.25">
      <c r="A251" s="29"/>
      <c r="B251" s="29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</row>
    <row r="252" spans="1:47" ht="13.2" x14ac:dyDescent="0.25">
      <c r="A252" s="29"/>
      <c r="B252" s="29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</row>
    <row r="253" spans="1:47" ht="13.2" x14ac:dyDescent="0.25">
      <c r="A253" s="29"/>
      <c r="B253" s="29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</row>
    <row r="254" spans="1:47" ht="13.2" x14ac:dyDescent="0.25">
      <c r="A254" s="29"/>
      <c r="B254" s="29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</row>
    <row r="255" spans="1:47" ht="13.2" x14ac:dyDescent="0.25">
      <c r="A255" s="29"/>
      <c r="B255" s="29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</row>
    <row r="256" spans="1:47" ht="13.2" x14ac:dyDescent="0.25">
      <c r="A256" s="29"/>
      <c r="B256" s="29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</row>
    <row r="257" spans="1:47" ht="13.2" x14ac:dyDescent="0.25">
      <c r="A257" s="29"/>
      <c r="B257" s="29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</row>
    <row r="258" spans="1:47" ht="13.2" x14ac:dyDescent="0.25">
      <c r="A258" s="29"/>
      <c r="B258" s="29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</row>
    <row r="259" spans="1:47" ht="13.2" x14ac:dyDescent="0.25">
      <c r="A259" s="29"/>
      <c r="B259" s="29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</row>
    <row r="260" spans="1:47" ht="13.2" x14ac:dyDescent="0.25">
      <c r="A260" s="29"/>
      <c r="B260" s="29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</row>
    <row r="261" spans="1:47" ht="13.2" x14ac:dyDescent="0.25">
      <c r="A261" s="29"/>
      <c r="B261" s="29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</row>
    <row r="262" spans="1:47" ht="13.2" x14ac:dyDescent="0.25">
      <c r="A262" s="29"/>
      <c r="B262" s="29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</row>
    <row r="263" spans="1:47" ht="13.2" x14ac:dyDescent="0.25">
      <c r="A263" s="29"/>
      <c r="B263" s="29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</row>
    <row r="264" spans="1:47" ht="13.2" x14ac:dyDescent="0.25">
      <c r="A264" s="29"/>
      <c r="B264" s="29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</row>
    <row r="265" spans="1:47" ht="13.2" x14ac:dyDescent="0.25">
      <c r="A265" s="29"/>
      <c r="B265" s="29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</row>
    <row r="266" spans="1:47" ht="13.2" x14ac:dyDescent="0.25">
      <c r="A266" s="29"/>
      <c r="B266" s="29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</row>
    <row r="267" spans="1:47" ht="13.2" x14ac:dyDescent="0.25">
      <c r="A267" s="29"/>
      <c r="B267" s="29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</row>
    <row r="268" spans="1:47" ht="13.2" x14ac:dyDescent="0.25">
      <c r="A268" s="29"/>
      <c r="B268" s="29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</row>
    <row r="269" spans="1:47" ht="13.2" x14ac:dyDescent="0.25">
      <c r="A269" s="29"/>
      <c r="B269" s="29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</row>
    <row r="270" spans="1:47" ht="13.2" x14ac:dyDescent="0.25">
      <c r="A270" s="29"/>
      <c r="B270" s="29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</row>
    <row r="271" spans="1:47" ht="13.2" x14ac:dyDescent="0.25">
      <c r="A271" s="29"/>
      <c r="B271" s="29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</row>
    <row r="272" spans="1:47" ht="13.2" x14ac:dyDescent="0.25">
      <c r="A272" s="29"/>
      <c r="B272" s="29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</row>
    <row r="273" spans="1:47" ht="13.2" x14ac:dyDescent="0.25">
      <c r="A273" s="29"/>
      <c r="B273" s="29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</row>
    <row r="274" spans="1:47" ht="13.2" x14ac:dyDescent="0.25">
      <c r="A274" s="29"/>
      <c r="B274" s="29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</row>
    <row r="275" spans="1:47" ht="13.2" x14ac:dyDescent="0.25">
      <c r="A275" s="29"/>
      <c r="B275" s="29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</row>
    <row r="276" spans="1:47" ht="13.2" x14ac:dyDescent="0.25">
      <c r="A276" s="29"/>
      <c r="B276" s="29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</row>
    <row r="277" spans="1:47" ht="13.2" x14ac:dyDescent="0.25">
      <c r="A277" s="29"/>
      <c r="B277" s="29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</row>
    <row r="278" spans="1:47" ht="13.2" x14ac:dyDescent="0.25">
      <c r="A278" s="29"/>
      <c r="B278" s="29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</row>
    <row r="279" spans="1:47" ht="13.2" x14ac:dyDescent="0.25">
      <c r="A279" s="29"/>
      <c r="B279" s="29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</row>
    <row r="280" spans="1:47" ht="13.2" x14ac:dyDescent="0.25">
      <c r="A280" s="29"/>
      <c r="B280" s="29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</row>
    <row r="281" spans="1:47" ht="13.2" x14ac:dyDescent="0.25">
      <c r="A281" s="29"/>
      <c r="B281" s="29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</row>
    <row r="282" spans="1:47" ht="13.2" x14ac:dyDescent="0.25">
      <c r="A282" s="29"/>
      <c r="B282" s="29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</row>
    <row r="283" spans="1:47" ht="13.2" x14ac:dyDescent="0.25">
      <c r="A283" s="29"/>
      <c r="B283" s="29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</row>
    <row r="284" spans="1:47" ht="13.2" x14ac:dyDescent="0.25">
      <c r="A284" s="29"/>
      <c r="B284" s="29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</row>
    <row r="285" spans="1:47" ht="13.2" x14ac:dyDescent="0.25">
      <c r="A285" s="29"/>
      <c r="B285" s="29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</row>
    <row r="286" spans="1:47" ht="13.2" x14ac:dyDescent="0.25">
      <c r="A286" s="29"/>
      <c r="B286" s="29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</row>
    <row r="287" spans="1:47" ht="13.2" x14ac:dyDescent="0.25">
      <c r="A287" s="29"/>
      <c r="B287" s="29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</row>
    <row r="288" spans="1:47" ht="13.2" x14ac:dyDescent="0.25">
      <c r="A288" s="29"/>
      <c r="B288" s="29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</row>
    <row r="289" spans="1:47" ht="13.2" x14ac:dyDescent="0.25">
      <c r="A289" s="29"/>
      <c r="B289" s="29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</row>
    <row r="290" spans="1:47" ht="13.2" x14ac:dyDescent="0.25">
      <c r="A290" s="29"/>
      <c r="B290" s="29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</row>
    <row r="291" spans="1:47" ht="13.2" x14ac:dyDescent="0.25">
      <c r="A291" s="29"/>
      <c r="B291" s="29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</row>
    <row r="292" spans="1:47" ht="13.2" x14ac:dyDescent="0.25">
      <c r="A292" s="29"/>
      <c r="B292" s="29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</row>
    <row r="293" spans="1:47" ht="13.2" x14ac:dyDescent="0.25">
      <c r="A293" s="29"/>
      <c r="B293" s="29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</row>
    <row r="294" spans="1:47" ht="13.2" x14ac:dyDescent="0.25">
      <c r="A294" s="29"/>
      <c r="B294" s="29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</row>
    <row r="295" spans="1:47" ht="13.2" x14ac:dyDescent="0.25">
      <c r="A295" s="29"/>
      <c r="B295" s="29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</row>
    <row r="296" spans="1:47" ht="13.2" x14ac:dyDescent="0.25">
      <c r="A296" s="29"/>
      <c r="B296" s="29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</row>
    <row r="297" spans="1:47" ht="13.2" x14ac:dyDescent="0.25">
      <c r="A297" s="29"/>
      <c r="B297" s="29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</row>
    <row r="298" spans="1:47" ht="13.2" x14ac:dyDescent="0.25">
      <c r="A298" s="29"/>
      <c r="B298" s="29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</row>
    <row r="299" spans="1:47" ht="13.2" x14ac:dyDescent="0.25">
      <c r="A299" s="29"/>
      <c r="B299" s="29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</row>
    <row r="300" spans="1:47" ht="13.2" x14ac:dyDescent="0.25">
      <c r="A300" s="29"/>
      <c r="B300" s="29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</row>
    <row r="301" spans="1:47" ht="13.2" x14ac:dyDescent="0.25">
      <c r="A301" s="29"/>
      <c r="B301" s="29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</row>
    <row r="302" spans="1:47" ht="13.2" x14ac:dyDescent="0.25">
      <c r="A302" s="29"/>
      <c r="B302" s="29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</row>
    <row r="303" spans="1:47" ht="13.2" x14ac:dyDescent="0.25">
      <c r="A303" s="29"/>
      <c r="B303" s="29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</row>
    <row r="304" spans="1:47" ht="13.2" x14ac:dyDescent="0.25">
      <c r="A304" s="29"/>
      <c r="B304" s="29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</row>
    <row r="305" spans="1:47" ht="13.2" x14ac:dyDescent="0.25">
      <c r="A305" s="29"/>
      <c r="B305" s="29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</row>
    <row r="306" spans="1:47" ht="13.2" x14ac:dyDescent="0.25">
      <c r="A306" s="29"/>
      <c r="B306" s="29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</row>
    <row r="307" spans="1:47" ht="13.2" x14ac:dyDescent="0.25">
      <c r="A307" s="29"/>
      <c r="B307" s="29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</row>
    <row r="308" spans="1:47" ht="13.2" x14ac:dyDescent="0.25">
      <c r="A308" s="29"/>
      <c r="B308" s="29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</row>
    <row r="309" spans="1:47" ht="13.2" x14ac:dyDescent="0.25">
      <c r="A309" s="29"/>
      <c r="B309" s="29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</row>
    <row r="310" spans="1:47" ht="13.2" x14ac:dyDescent="0.25">
      <c r="A310" s="29"/>
      <c r="B310" s="29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</row>
    <row r="311" spans="1:47" ht="13.2" x14ac:dyDescent="0.25">
      <c r="A311" s="29"/>
      <c r="B311" s="29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</row>
    <row r="312" spans="1:47" ht="13.2" x14ac:dyDescent="0.25">
      <c r="A312" s="29"/>
      <c r="B312" s="29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</row>
    <row r="313" spans="1:47" ht="13.2" x14ac:dyDescent="0.25">
      <c r="A313" s="29"/>
      <c r="B313" s="29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</row>
    <row r="314" spans="1:47" ht="13.2" x14ac:dyDescent="0.25">
      <c r="A314" s="29"/>
      <c r="B314" s="29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</row>
    <row r="315" spans="1:47" ht="13.2" x14ac:dyDescent="0.25">
      <c r="A315" s="29"/>
      <c r="B315" s="29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</row>
    <row r="316" spans="1:47" ht="13.2" x14ac:dyDescent="0.25">
      <c r="A316" s="29"/>
      <c r="B316" s="29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</row>
    <row r="317" spans="1:47" ht="13.2" x14ac:dyDescent="0.25">
      <c r="A317" s="29"/>
      <c r="B317" s="29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</row>
    <row r="318" spans="1:47" ht="13.2" x14ac:dyDescent="0.25">
      <c r="A318" s="29"/>
      <c r="B318" s="29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</row>
    <row r="319" spans="1:47" ht="13.2" x14ac:dyDescent="0.25">
      <c r="A319" s="29"/>
      <c r="B319" s="29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</row>
    <row r="320" spans="1:47" ht="13.2" x14ac:dyDescent="0.25">
      <c r="A320" s="29"/>
      <c r="B320" s="29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</row>
    <row r="321" spans="1:47" ht="13.2" x14ac:dyDescent="0.25">
      <c r="A321" s="29"/>
      <c r="B321" s="29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</row>
    <row r="322" spans="1:47" ht="13.2" x14ac:dyDescent="0.25">
      <c r="A322" s="29"/>
      <c r="B322" s="29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</row>
    <row r="323" spans="1:47" ht="13.2" x14ac:dyDescent="0.25">
      <c r="A323" s="29"/>
      <c r="B323" s="29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</row>
    <row r="324" spans="1:47" ht="13.2" x14ac:dyDescent="0.25">
      <c r="A324" s="29"/>
      <c r="B324" s="29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</row>
    <row r="325" spans="1:47" ht="13.2" x14ac:dyDescent="0.25">
      <c r="A325" s="29"/>
      <c r="B325" s="29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</row>
    <row r="326" spans="1:47" ht="13.2" x14ac:dyDescent="0.25">
      <c r="A326" s="29"/>
      <c r="B326" s="29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</row>
    <row r="327" spans="1:47" ht="13.2" x14ac:dyDescent="0.25">
      <c r="A327" s="29"/>
      <c r="B327" s="29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</row>
    <row r="328" spans="1:47" ht="13.2" x14ac:dyDescent="0.25">
      <c r="A328" s="29"/>
      <c r="B328" s="29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</row>
    <row r="329" spans="1:47" ht="13.2" x14ac:dyDescent="0.25">
      <c r="A329" s="29"/>
      <c r="B329" s="29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</row>
    <row r="330" spans="1:47" ht="13.2" x14ac:dyDescent="0.25">
      <c r="A330" s="29"/>
      <c r="B330" s="29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</row>
    <row r="331" spans="1:47" ht="13.2" x14ac:dyDescent="0.25">
      <c r="A331" s="29"/>
      <c r="B331" s="29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</row>
    <row r="332" spans="1:47" ht="13.2" x14ac:dyDescent="0.25">
      <c r="A332" s="29"/>
      <c r="B332" s="29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</row>
    <row r="333" spans="1:47" ht="13.2" x14ac:dyDescent="0.25">
      <c r="A333" s="29"/>
      <c r="B333" s="29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</row>
    <row r="334" spans="1:47" ht="13.2" x14ac:dyDescent="0.25">
      <c r="A334" s="29"/>
      <c r="B334" s="29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</row>
    <row r="335" spans="1:47" ht="13.2" x14ac:dyDescent="0.25">
      <c r="A335" s="29"/>
      <c r="B335" s="29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</row>
    <row r="336" spans="1:47" ht="13.2" x14ac:dyDescent="0.25">
      <c r="A336" s="29"/>
      <c r="B336" s="29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</row>
    <row r="337" spans="1:47" ht="13.2" x14ac:dyDescent="0.25">
      <c r="A337" s="29"/>
      <c r="B337" s="29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</row>
    <row r="338" spans="1:47" ht="13.2" x14ac:dyDescent="0.25">
      <c r="A338" s="29"/>
      <c r="B338" s="29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</row>
    <row r="339" spans="1:47" ht="13.2" x14ac:dyDescent="0.25">
      <c r="A339" s="29"/>
      <c r="B339" s="29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</row>
    <row r="340" spans="1:47" ht="13.2" x14ac:dyDescent="0.25">
      <c r="A340" s="29"/>
      <c r="B340" s="29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</row>
    <row r="341" spans="1:47" ht="13.2" x14ac:dyDescent="0.25">
      <c r="A341" s="29"/>
      <c r="B341" s="29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</row>
    <row r="342" spans="1:47" ht="13.2" x14ac:dyDescent="0.25">
      <c r="A342" s="29"/>
      <c r="B342" s="29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</row>
    <row r="343" spans="1:47" ht="13.2" x14ac:dyDescent="0.25">
      <c r="A343" s="29"/>
      <c r="B343" s="29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</row>
    <row r="344" spans="1:47" ht="13.2" x14ac:dyDescent="0.25">
      <c r="A344" s="29"/>
      <c r="B344" s="29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</row>
    <row r="345" spans="1:47" ht="13.2" x14ac:dyDescent="0.25">
      <c r="A345" s="29"/>
      <c r="B345" s="29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</row>
    <row r="346" spans="1:47" ht="13.2" x14ac:dyDescent="0.25">
      <c r="A346" s="29"/>
      <c r="B346" s="29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</row>
    <row r="347" spans="1:47" ht="13.2" x14ac:dyDescent="0.25">
      <c r="A347" s="29"/>
      <c r="B347" s="29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</row>
    <row r="348" spans="1:47" ht="13.2" x14ac:dyDescent="0.25">
      <c r="A348" s="29"/>
      <c r="B348" s="29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</row>
    <row r="349" spans="1:47" ht="13.2" x14ac:dyDescent="0.25">
      <c r="A349" s="29"/>
      <c r="B349" s="29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</row>
    <row r="350" spans="1:47" ht="13.2" x14ac:dyDescent="0.25">
      <c r="A350" s="29"/>
      <c r="B350" s="29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</row>
    <row r="351" spans="1:47" ht="13.2" x14ac:dyDescent="0.25">
      <c r="A351" s="29"/>
      <c r="B351" s="29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</row>
    <row r="352" spans="1:47" ht="13.2" x14ac:dyDescent="0.25">
      <c r="A352" s="29"/>
      <c r="B352" s="29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</row>
    <row r="353" spans="1:47" ht="13.2" x14ac:dyDescent="0.25">
      <c r="A353" s="29"/>
      <c r="B353" s="29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</row>
    <row r="354" spans="1:47" ht="13.2" x14ac:dyDescent="0.25">
      <c r="A354" s="29"/>
      <c r="B354" s="29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</row>
    <row r="355" spans="1:47" ht="13.2" x14ac:dyDescent="0.25">
      <c r="A355" s="29"/>
      <c r="B355" s="29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</row>
    <row r="356" spans="1:47" ht="13.2" x14ac:dyDescent="0.25">
      <c r="A356" s="29"/>
      <c r="B356" s="29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</row>
    <row r="357" spans="1:47" ht="13.2" x14ac:dyDescent="0.25">
      <c r="A357" s="29"/>
      <c r="B357" s="29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</row>
    <row r="358" spans="1:47" ht="13.2" x14ac:dyDescent="0.25">
      <c r="A358" s="29"/>
      <c r="B358" s="29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</row>
    <row r="359" spans="1:47" ht="13.2" x14ac:dyDescent="0.25">
      <c r="A359" s="29"/>
      <c r="B359" s="29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</row>
    <row r="360" spans="1:47" ht="13.2" x14ac:dyDescent="0.25">
      <c r="A360" s="29"/>
      <c r="B360" s="29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</row>
    <row r="361" spans="1:47" ht="13.2" x14ac:dyDescent="0.25">
      <c r="A361" s="29"/>
      <c r="B361" s="29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</row>
    <row r="362" spans="1:47" ht="13.2" x14ac:dyDescent="0.25">
      <c r="A362" s="29"/>
      <c r="B362" s="29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</row>
    <row r="363" spans="1:47" ht="13.2" x14ac:dyDescent="0.25">
      <c r="A363" s="29"/>
      <c r="B363" s="29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</row>
    <row r="364" spans="1:47" ht="13.2" x14ac:dyDescent="0.25">
      <c r="A364" s="29"/>
      <c r="B364" s="29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</row>
    <row r="365" spans="1:47" ht="13.2" x14ac:dyDescent="0.25">
      <c r="A365" s="29"/>
      <c r="B365" s="29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</row>
    <row r="366" spans="1:47" ht="13.2" x14ac:dyDescent="0.25">
      <c r="A366" s="29"/>
      <c r="B366" s="29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</row>
    <row r="367" spans="1:47" ht="13.2" x14ac:dyDescent="0.25">
      <c r="A367" s="29"/>
      <c r="B367" s="29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</row>
    <row r="368" spans="1:47" ht="13.2" x14ac:dyDescent="0.25">
      <c r="A368" s="29"/>
      <c r="B368" s="29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</row>
    <row r="369" spans="1:47" ht="13.2" x14ac:dyDescent="0.25">
      <c r="A369" s="29"/>
      <c r="B369" s="29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</row>
    <row r="370" spans="1:47" ht="13.2" x14ac:dyDescent="0.25">
      <c r="A370" s="29"/>
      <c r="B370" s="29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</row>
    <row r="371" spans="1:47" ht="13.2" x14ac:dyDescent="0.25">
      <c r="A371" s="29"/>
      <c r="B371" s="29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</row>
    <row r="372" spans="1:47" ht="13.2" x14ac:dyDescent="0.25">
      <c r="A372" s="29"/>
      <c r="B372" s="29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</row>
    <row r="373" spans="1:47" ht="13.2" x14ac:dyDescent="0.25">
      <c r="A373" s="29"/>
      <c r="B373" s="29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</row>
    <row r="374" spans="1:47" ht="13.2" x14ac:dyDescent="0.25">
      <c r="A374" s="29"/>
      <c r="B374" s="29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</row>
    <row r="375" spans="1:47" ht="13.2" x14ac:dyDescent="0.25">
      <c r="A375" s="29"/>
      <c r="B375" s="29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</row>
    <row r="376" spans="1:47" ht="13.2" x14ac:dyDescent="0.25">
      <c r="A376" s="29"/>
      <c r="B376" s="29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</row>
    <row r="377" spans="1:47" ht="13.2" x14ac:dyDescent="0.25">
      <c r="A377" s="29"/>
      <c r="B377" s="29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</row>
    <row r="378" spans="1:47" ht="13.2" x14ac:dyDescent="0.25">
      <c r="A378" s="29"/>
      <c r="B378" s="29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</row>
    <row r="379" spans="1:47" ht="13.2" x14ac:dyDescent="0.25">
      <c r="A379" s="29"/>
      <c r="B379" s="29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</row>
    <row r="380" spans="1:47" ht="13.2" x14ac:dyDescent="0.25">
      <c r="A380" s="29"/>
      <c r="B380" s="29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</row>
    <row r="381" spans="1:47" ht="13.2" x14ac:dyDescent="0.25">
      <c r="A381" s="29"/>
      <c r="B381" s="29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</row>
    <row r="382" spans="1:47" ht="13.2" x14ac:dyDescent="0.25">
      <c r="A382" s="29"/>
      <c r="B382" s="29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</row>
    <row r="383" spans="1:47" ht="13.2" x14ac:dyDescent="0.25">
      <c r="A383" s="29"/>
      <c r="B383" s="29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</row>
    <row r="384" spans="1:47" ht="13.2" x14ac:dyDescent="0.25">
      <c r="A384" s="29"/>
      <c r="B384" s="29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</row>
    <row r="385" spans="1:47" ht="13.2" x14ac:dyDescent="0.25">
      <c r="A385" s="29"/>
      <c r="B385" s="29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</row>
    <row r="386" spans="1:47" ht="13.2" x14ac:dyDescent="0.25">
      <c r="A386" s="29"/>
      <c r="B386" s="29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</row>
    <row r="387" spans="1:47" ht="13.2" x14ac:dyDescent="0.25">
      <c r="A387" s="29"/>
      <c r="B387" s="29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</row>
    <row r="388" spans="1:47" ht="13.2" x14ac:dyDescent="0.25">
      <c r="A388" s="29"/>
      <c r="B388" s="29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</row>
    <row r="389" spans="1:47" ht="13.2" x14ac:dyDescent="0.25">
      <c r="A389" s="29"/>
      <c r="B389" s="29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</row>
    <row r="390" spans="1:47" ht="13.2" x14ac:dyDescent="0.25">
      <c r="A390" s="29"/>
      <c r="B390" s="29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</row>
    <row r="391" spans="1:47" ht="13.2" x14ac:dyDescent="0.25">
      <c r="A391" s="29"/>
      <c r="B391" s="29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</row>
    <row r="392" spans="1:47" ht="13.2" x14ac:dyDescent="0.25">
      <c r="A392" s="29"/>
      <c r="B392" s="29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</row>
    <row r="393" spans="1:47" ht="13.2" x14ac:dyDescent="0.25">
      <c r="A393" s="29"/>
      <c r="B393" s="29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</row>
    <row r="394" spans="1:47" ht="13.2" x14ac:dyDescent="0.25">
      <c r="A394" s="29"/>
      <c r="B394" s="29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</row>
    <row r="395" spans="1:47" ht="13.2" x14ac:dyDescent="0.25">
      <c r="A395" s="29"/>
      <c r="B395" s="29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</row>
    <row r="396" spans="1:47" ht="13.2" x14ac:dyDescent="0.25">
      <c r="A396" s="29"/>
      <c r="B396" s="29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</row>
    <row r="397" spans="1:47" ht="13.2" x14ac:dyDescent="0.25">
      <c r="A397" s="29"/>
      <c r="B397" s="29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</row>
    <row r="398" spans="1:47" ht="13.2" x14ac:dyDescent="0.25">
      <c r="A398" s="29"/>
      <c r="B398" s="29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</row>
    <row r="399" spans="1:47" ht="13.2" x14ac:dyDescent="0.25">
      <c r="A399" s="29"/>
      <c r="B399" s="29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</row>
    <row r="400" spans="1:47" ht="13.2" x14ac:dyDescent="0.25">
      <c r="A400" s="29"/>
      <c r="B400" s="29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</row>
    <row r="401" spans="1:47" ht="13.2" x14ac:dyDescent="0.25">
      <c r="A401" s="29"/>
      <c r="B401" s="29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</row>
    <row r="402" spans="1:47" ht="13.2" x14ac:dyDescent="0.25">
      <c r="A402" s="29"/>
      <c r="B402" s="29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</row>
    <row r="403" spans="1:47" ht="13.2" x14ac:dyDescent="0.25">
      <c r="A403" s="29"/>
      <c r="B403" s="29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</row>
    <row r="404" spans="1:47" ht="13.2" x14ac:dyDescent="0.25">
      <c r="A404" s="29"/>
      <c r="B404" s="29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</row>
    <row r="405" spans="1:47" ht="13.2" x14ac:dyDescent="0.25">
      <c r="A405" s="29"/>
      <c r="B405" s="29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</row>
    <row r="406" spans="1:47" ht="13.2" x14ac:dyDescent="0.25">
      <c r="A406" s="29"/>
      <c r="B406" s="29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</row>
    <row r="407" spans="1:47" ht="13.2" x14ac:dyDescent="0.25">
      <c r="A407" s="29"/>
      <c r="B407" s="29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</row>
    <row r="408" spans="1:47" ht="13.2" x14ac:dyDescent="0.25">
      <c r="A408" s="29"/>
      <c r="B408" s="29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</row>
    <row r="409" spans="1:47" ht="13.2" x14ac:dyDescent="0.25">
      <c r="A409" s="29"/>
      <c r="B409" s="29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</row>
    <row r="410" spans="1:47" ht="13.2" x14ac:dyDescent="0.25">
      <c r="A410" s="29"/>
      <c r="B410" s="29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</row>
    <row r="411" spans="1:47" ht="13.2" x14ac:dyDescent="0.25">
      <c r="A411" s="29"/>
      <c r="B411" s="29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</row>
    <row r="412" spans="1:47" ht="13.2" x14ac:dyDescent="0.25">
      <c r="A412" s="29"/>
      <c r="B412" s="29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</row>
    <row r="413" spans="1:47" ht="13.2" x14ac:dyDescent="0.25">
      <c r="A413" s="29"/>
      <c r="B413" s="29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</row>
    <row r="414" spans="1:47" ht="13.2" x14ac:dyDescent="0.25">
      <c r="A414" s="29"/>
      <c r="B414" s="29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</row>
    <row r="415" spans="1:47" ht="13.2" x14ac:dyDescent="0.25">
      <c r="A415" s="29"/>
      <c r="B415" s="29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</row>
    <row r="416" spans="1:47" ht="13.2" x14ac:dyDescent="0.25">
      <c r="A416" s="29"/>
      <c r="B416" s="29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</row>
    <row r="417" spans="1:47" ht="13.2" x14ac:dyDescent="0.25">
      <c r="A417" s="29"/>
      <c r="B417" s="29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</row>
    <row r="418" spans="1:47" ht="13.2" x14ac:dyDescent="0.25">
      <c r="A418" s="29"/>
      <c r="B418" s="29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</row>
    <row r="419" spans="1:47" ht="13.2" x14ac:dyDescent="0.25">
      <c r="A419" s="29"/>
      <c r="B419" s="29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</row>
    <row r="420" spans="1:47" ht="13.2" x14ac:dyDescent="0.25">
      <c r="A420" s="29"/>
      <c r="B420" s="29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</row>
    <row r="421" spans="1:47" ht="13.2" x14ac:dyDescent="0.25">
      <c r="A421" s="29"/>
      <c r="B421" s="29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</row>
    <row r="422" spans="1:47" ht="13.2" x14ac:dyDescent="0.25">
      <c r="A422" s="29"/>
      <c r="B422" s="29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</row>
    <row r="423" spans="1:47" ht="13.2" x14ac:dyDescent="0.25">
      <c r="A423" s="29"/>
      <c r="B423" s="29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</row>
    <row r="424" spans="1:47" ht="13.2" x14ac:dyDescent="0.25">
      <c r="A424" s="29"/>
      <c r="B424" s="29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</row>
    <row r="425" spans="1:47" ht="13.2" x14ac:dyDescent="0.25">
      <c r="A425" s="29"/>
      <c r="B425" s="29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</row>
    <row r="426" spans="1:47" ht="13.2" x14ac:dyDescent="0.25">
      <c r="A426" s="29"/>
      <c r="B426" s="29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</row>
    <row r="427" spans="1:47" ht="13.2" x14ac:dyDescent="0.25">
      <c r="A427" s="29"/>
      <c r="B427" s="29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</row>
    <row r="428" spans="1:47" ht="13.2" x14ac:dyDescent="0.25">
      <c r="A428" s="29"/>
      <c r="B428" s="29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</row>
    <row r="429" spans="1:47" ht="13.2" x14ac:dyDescent="0.25">
      <c r="A429" s="29"/>
      <c r="B429" s="29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</row>
    <row r="430" spans="1:47" ht="13.2" x14ac:dyDescent="0.25">
      <c r="A430" s="29"/>
      <c r="B430" s="29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</row>
    <row r="431" spans="1:47" ht="13.2" x14ac:dyDescent="0.25">
      <c r="A431" s="29"/>
      <c r="B431" s="29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</row>
    <row r="432" spans="1:47" ht="13.2" x14ac:dyDescent="0.25">
      <c r="A432" s="29"/>
      <c r="B432" s="29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</row>
    <row r="433" spans="1:47" ht="13.2" x14ac:dyDescent="0.25">
      <c r="A433" s="29"/>
      <c r="B433" s="29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</row>
    <row r="434" spans="1:47" ht="13.2" x14ac:dyDescent="0.25">
      <c r="A434" s="29"/>
      <c r="B434" s="29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</row>
    <row r="435" spans="1:47" ht="13.2" x14ac:dyDescent="0.25">
      <c r="A435" s="29"/>
      <c r="B435" s="29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</row>
    <row r="436" spans="1:47" ht="13.2" x14ac:dyDescent="0.25">
      <c r="A436" s="29"/>
      <c r="B436" s="29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</row>
    <row r="437" spans="1:47" ht="13.2" x14ac:dyDescent="0.25">
      <c r="A437" s="29"/>
      <c r="B437" s="29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</row>
    <row r="438" spans="1:47" ht="13.2" x14ac:dyDescent="0.25">
      <c r="A438" s="29"/>
      <c r="B438" s="29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</row>
    <row r="439" spans="1:47" ht="13.2" x14ac:dyDescent="0.25">
      <c r="A439" s="29"/>
      <c r="B439" s="29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</row>
    <row r="440" spans="1:47" ht="13.2" x14ac:dyDescent="0.25">
      <c r="A440" s="29"/>
      <c r="B440" s="29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</row>
    <row r="441" spans="1:47" ht="13.2" x14ac:dyDescent="0.25">
      <c r="A441" s="29"/>
      <c r="B441" s="29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</row>
    <row r="442" spans="1:47" ht="13.2" x14ac:dyDescent="0.25">
      <c r="A442" s="29"/>
      <c r="B442" s="29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</row>
    <row r="443" spans="1:47" ht="13.2" x14ac:dyDescent="0.25">
      <c r="A443" s="29"/>
      <c r="B443" s="29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</row>
    <row r="444" spans="1:47" ht="13.2" x14ac:dyDescent="0.25">
      <c r="A444" s="29"/>
      <c r="B444" s="29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</row>
    <row r="445" spans="1:47" ht="13.2" x14ac:dyDescent="0.25">
      <c r="A445" s="29"/>
      <c r="B445" s="29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</row>
    <row r="446" spans="1:47" ht="13.2" x14ac:dyDescent="0.25">
      <c r="A446" s="29"/>
      <c r="B446" s="29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</row>
    <row r="447" spans="1:47" ht="13.2" x14ac:dyDescent="0.25">
      <c r="A447" s="29"/>
      <c r="B447" s="29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</row>
    <row r="448" spans="1:47" ht="13.2" x14ac:dyDescent="0.25">
      <c r="A448" s="29"/>
      <c r="B448" s="29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</row>
    <row r="449" spans="1:47" ht="13.2" x14ac:dyDescent="0.25">
      <c r="A449" s="29"/>
      <c r="B449" s="29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</row>
    <row r="450" spans="1:47" ht="13.2" x14ac:dyDescent="0.25">
      <c r="A450" s="29"/>
      <c r="B450" s="29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</row>
    <row r="451" spans="1:47" ht="13.2" x14ac:dyDescent="0.25">
      <c r="A451" s="29"/>
      <c r="B451" s="29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</row>
    <row r="452" spans="1:47" ht="13.2" x14ac:dyDescent="0.25">
      <c r="A452" s="29"/>
      <c r="B452" s="29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</row>
    <row r="453" spans="1:47" ht="13.2" x14ac:dyDescent="0.25">
      <c r="A453" s="29"/>
      <c r="B453" s="29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</row>
    <row r="454" spans="1:47" ht="13.2" x14ac:dyDescent="0.25">
      <c r="A454" s="29"/>
      <c r="B454" s="29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</row>
    <row r="455" spans="1:47" ht="13.2" x14ac:dyDescent="0.25">
      <c r="A455" s="29"/>
      <c r="B455" s="29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</row>
    <row r="456" spans="1:47" ht="13.2" x14ac:dyDescent="0.25">
      <c r="A456" s="29"/>
      <c r="B456" s="29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</row>
    <row r="457" spans="1:47" ht="13.2" x14ac:dyDescent="0.25">
      <c r="A457" s="29"/>
      <c r="B457" s="29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</row>
    <row r="458" spans="1:47" ht="13.2" x14ac:dyDescent="0.25">
      <c r="A458" s="29"/>
      <c r="B458" s="29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</row>
    <row r="459" spans="1:47" ht="13.2" x14ac:dyDescent="0.25">
      <c r="A459" s="29"/>
      <c r="B459" s="29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</row>
    <row r="460" spans="1:47" ht="13.2" x14ac:dyDescent="0.25">
      <c r="A460" s="29"/>
      <c r="B460" s="29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</row>
    <row r="461" spans="1:47" ht="13.2" x14ac:dyDescent="0.25">
      <c r="A461" s="29"/>
      <c r="B461" s="29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</row>
    <row r="462" spans="1:47" ht="13.2" x14ac:dyDescent="0.25">
      <c r="A462" s="29"/>
      <c r="B462" s="29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</row>
    <row r="463" spans="1:47" ht="13.2" x14ac:dyDescent="0.25">
      <c r="A463" s="29"/>
      <c r="B463" s="29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</row>
    <row r="464" spans="1:47" ht="13.2" x14ac:dyDescent="0.25">
      <c r="A464" s="29"/>
      <c r="B464" s="29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</row>
    <row r="465" spans="1:47" ht="13.2" x14ac:dyDescent="0.25">
      <c r="A465" s="29"/>
      <c r="B465" s="29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</row>
    <row r="466" spans="1:47" ht="13.2" x14ac:dyDescent="0.25">
      <c r="A466" s="29"/>
      <c r="B466" s="29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</row>
    <row r="467" spans="1:47" ht="13.2" x14ac:dyDescent="0.25">
      <c r="A467" s="29"/>
      <c r="B467" s="29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</row>
    <row r="468" spans="1:47" ht="13.2" x14ac:dyDescent="0.25">
      <c r="A468" s="29"/>
      <c r="B468" s="29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</row>
    <row r="469" spans="1:47" ht="13.2" x14ac:dyDescent="0.25">
      <c r="A469" s="29"/>
      <c r="B469" s="29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</row>
    <row r="470" spans="1:47" ht="13.2" x14ac:dyDescent="0.25">
      <c r="A470" s="29"/>
      <c r="B470" s="29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</row>
    <row r="471" spans="1:47" ht="13.2" x14ac:dyDescent="0.25">
      <c r="A471" s="29"/>
      <c r="B471" s="29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</row>
    <row r="472" spans="1:47" ht="13.2" x14ac:dyDescent="0.25">
      <c r="A472" s="29"/>
      <c r="B472" s="29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</row>
    <row r="473" spans="1:47" ht="13.2" x14ac:dyDescent="0.25">
      <c r="A473" s="29"/>
      <c r="B473" s="29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</row>
    <row r="474" spans="1:47" ht="13.2" x14ac:dyDescent="0.25">
      <c r="A474" s="29"/>
      <c r="B474" s="29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</row>
    <row r="475" spans="1:47" ht="13.2" x14ac:dyDescent="0.25">
      <c r="A475" s="29"/>
      <c r="B475" s="29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</row>
    <row r="476" spans="1:47" ht="13.2" x14ac:dyDescent="0.25">
      <c r="A476" s="29"/>
      <c r="B476" s="29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</row>
    <row r="477" spans="1:47" ht="13.2" x14ac:dyDescent="0.25">
      <c r="A477" s="29"/>
      <c r="B477" s="29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</row>
    <row r="478" spans="1:47" ht="13.2" x14ac:dyDescent="0.25">
      <c r="A478" s="29"/>
      <c r="B478" s="29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</row>
    <row r="479" spans="1:47" ht="13.2" x14ac:dyDescent="0.25">
      <c r="A479" s="29"/>
      <c r="B479" s="29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</row>
    <row r="480" spans="1:47" ht="13.2" x14ac:dyDescent="0.25">
      <c r="A480" s="29"/>
      <c r="B480" s="29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</row>
    <row r="481" spans="1:47" ht="13.2" x14ac:dyDescent="0.25">
      <c r="A481" s="29"/>
      <c r="B481" s="29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</row>
    <row r="482" spans="1:47" ht="13.2" x14ac:dyDescent="0.25">
      <c r="A482" s="29"/>
      <c r="B482" s="29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</row>
    <row r="483" spans="1:47" ht="13.2" x14ac:dyDescent="0.25">
      <c r="A483" s="29"/>
      <c r="B483" s="29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</row>
    <row r="484" spans="1:47" ht="13.2" x14ac:dyDescent="0.25">
      <c r="A484" s="29"/>
      <c r="B484" s="29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</row>
    <row r="485" spans="1:47" ht="13.2" x14ac:dyDescent="0.25">
      <c r="A485" s="29"/>
      <c r="B485" s="29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</row>
    <row r="486" spans="1:47" ht="13.2" x14ac:dyDescent="0.25">
      <c r="A486" s="29"/>
      <c r="B486" s="29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</row>
    <row r="487" spans="1:47" ht="13.2" x14ac:dyDescent="0.25">
      <c r="A487" s="29"/>
      <c r="B487" s="29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</row>
    <row r="488" spans="1:47" ht="13.2" x14ac:dyDescent="0.25">
      <c r="A488" s="29"/>
      <c r="B488" s="29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</row>
    <row r="489" spans="1:47" ht="13.2" x14ac:dyDescent="0.25">
      <c r="A489" s="29"/>
      <c r="B489" s="29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</row>
    <row r="490" spans="1:47" ht="13.2" x14ac:dyDescent="0.25">
      <c r="A490" s="29"/>
      <c r="B490" s="29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</row>
    <row r="491" spans="1:47" ht="13.2" x14ac:dyDescent="0.25">
      <c r="A491" s="29"/>
      <c r="B491" s="29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</row>
    <row r="492" spans="1:47" ht="13.2" x14ac:dyDescent="0.25">
      <c r="A492" s="29"/>
      <c r="B492" s="29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</row>
    <row r="493" spans="1:47" ht="13.2" x14ac:dyDescent="0.25">
      <c r="A493" s="29"/>
      <c r="B493" s="29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</row>
    <row r="494" spans="1:47" ht="13.2" x14ac:dyDescent="0.25">
      <c r="A494" s="29"/>
      <c r="B494" s="29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</row>
    <row r="495" spans="1:47" ht="13.2" x14ac:dyDescent="0.25">
      <c r="A495" s="29"/>
      <c r="B495" s="29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</row>
    <row r="496" spans="1:47" ht="13.2" x14ac:dyDescent="0.25">
      <c r="A496" s="29"/>
      <c r="B496" s="29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</row>
    <row r="497" spans="1:47" ht="13.2" x14ac:dyDescent="0.25">
      <c r="A497" s="29"/>
      <c r="B497" s="29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</row>
    <row r="498" spans="1:47" ht="13.2" x14ac:dyDescent="0.25">
      <c r="A498" s="29"/>
      <c r="B498" s="29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</row>
    <row r="499" spans="1:47" ht="13.2" x14ac:dyDescent="0.25">
      <c r="A499" s="29"/>
      <c r="B499" s="29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</row>
    <row r="500" spans="1:47" ht="13.2" x14ac:dyDescent="0.25">
      <c r="A500" s="29"/>
      <c r="B500" s="29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</row>
    <row r="501" spans="1:47" ht="13.2" x14ac:dyDescent="0.25">
      <c r="A501" s="29"/>
      <c r="B501" s="29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</row>
    <row r="502" spans="1:47" ht="13.2" x14ac:dyDescent="0.25">
      <c r="A502" s="29"/>
      <c r="B502" s="29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</row>
    <row r="503" spans="1:47" ht="13.2" x14ac:dyDescent="0.25">
      <c r="A503" s="29"/>
      <c r="B503" s="29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</row>
    <row r="504" spans="1:47" ht="13.2" x14ac:dyDescent="0.25">
      <c r="A504" s="29"/>
      <c r="B504" s="29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</row>
    <row r="505" spans="1:47" ht="13.2" x14ac:dyDescent="0.25">
      <c r="A505" s="29"/>
      <c r="B505" s="29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</row>
    <row r="506" spans="1:47" ht="13.2" x14ac:dyDescent="0.25">
      <c r="A506" s="29"/>
      <c r="B506" s="29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</row>
    <row r="507" spans="1:47" ht="13.2" x14ac:dyDescent="0.25">
      <c r="A507" s="29"/>
      <c r="B507" s="29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</row>
    <row r="508" spans="1:47" ht="13.2" x14ac:dyDescent="0.25">
      <c r="A508" s="29"/>
      <c r="B508" s="29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</row>
    <row r="509" spans="1:47" ht="13.2" x14ac:dyDescent="0.25">
      <c r="A509" s="29"/>
      <c r="B509" s="29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</row>
    <row r="510" spans="1:47" ht="13.2" x14ac:dyDescent="0.25">
      <c r="A510" s="29"/>
      <c r="B510" s="29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</row>
    <row r="511" spans="1:47" ht="13.2" x14ac:dyDescent="0.25">
      <c r="A511" s="29"/>
      <c r="B511" s="29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</row>
    <row r="512" spans="1:47" ht="13.2" x14ac:dyDescent="0.25">
      <c r="A512" s="29"/>
      <c r="B512" s="29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</row>
    <row r="513" spans="1:47" ht="13.2" x14ac:dyDescent="0.25">
      <c r="A513" s="29"/>
      <c r="B513" s="29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</row>
    <row r="514" spans="1:47" ht="13.2" x14ac:dyDescent="0.25">
      <c r="A514" s="29"/>
      <c r="B514" s="29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</row>
    <row r="515" spans="1:47" ht="13.2" x14ac:dyDescent="0.25">
      <c r="A515" s="29"/>
      <c r="B515" s="29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</row>
    <row r="516" spans="1:47" ht="13.2" x14ac:dyDescent="0.25">
      <c r="A516" s="29"/>
      <c r="B516" s="29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</row>
    <row r="517" spans="1:47" ht="13.2" x14ac:dyDescent="0.25">
      <c r="A517" s="29"/>
      <c r="B517" s="29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</row>
    <row r="518" spans="1:47" ht="13.2" x14ac:dyDescent="0.25">
      <c r="A518" s="29"/>
      <c r="B518" s="29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</row>
    <row r="519" spans="1:47" ht="13.2" x14ac:dyDescent="0.25">
      <c r="A519" s="29"/>
      <c r="B519" s="29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</row>
    <row r="520" spans="1:47" ht="13.2" x14ac:dyDescent="0.25">
      <c r="A520" s="29"/>
      <c r="B520" s="29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</row>
    <row r="521" spans="1:47" ht="13.2" x14ac:dyDescent="0.25">
      <c r="A521" s="29"/>
      <c r="B521" s="29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</row>
    <row r="522" spans="1:47" ht="13.2" x14ac:dyDescent="0.25">
      <c r="A522" s="29"/>
      <c r="B522" s="29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</row>
    <row r="523" spans="1:47" ht="13.2" x14ac:dyDescent="0.25">
      <c r="A523" s="29"/>
      <c r="B523" s="29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</row>
    <row r="524" spans="1:47" ht="13.2" x14ac:dyDescent="0.25">
      <c r="A524" s="29"/>
      <c r="B524" s="29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</row>
    <row r="525" spans="1:47" ht="13.2" x14ac:dyDescent="0.25">
      <c r="A525" s="29"/>
      <c r="B525" s="29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</row>
    <row r="526" spans="1:47" ht="13.2" x14ac:dyDescent="0.25">
      <c r="A526" s="29"/>
      <c r="B526" s="29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</row>
    <row r="527" spans="1:47" ht="13.2" x14ac:dyDescent="0.25">
      <c r="A527" s="29"/>
      <c r="B527" s="29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</row>
    <row r="528" spans="1:47" ht="13.2" x14ac:dyDescent="0.25">
      <c r="A528" s="29"/>
      <c r="B528" s="29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</row>
    <row r="529" spans="1:47" ht="13.2" x14ac:dyDescent="0.25">
      <c r="A529" s="29"/>
      <c r="B529" s="29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</row>
    <row r="530" spans="1:47" ht="13.2" x14ac:dyDescent="0.25">
      <c r="A530" s="29"/>
      <c r="B530" s="29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</row>
    <row r="531" spans="1:47" ht="13.2" x14ac:dyDescent="0.25">
      <c r="A531" s="29"/>
      <c r="B531" s="29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</row>
    <row r="532" spans="1:47" ht="13.2" x14ac:dyDescent="0.25">
      <c r="A532" s="29"/>
      <c r="B532" s="29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</row>
    <row r="533" spans="1:47" ht="13.2" x14ac:dyDescent="0.25">
      <c r="A533" s="29"/>
      <c r="B533" s="29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</row>
    <row r="534" spans="1:47" ht="13.2" x14ac:dyDescent="0.25">
      <c r="A534" s="29"/>
      <c r="B534" s="29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</row>
    <row r="535" spans="1:47" ht="13.2" x14ac:dyDescent="0.25">
      <c r="A535" s="29"/>
      <c r="B535" s="29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</row>
    <row r="536" spans="1:47" ht="13.2" x14ac:dyDescent="0.25">
      <c r="A536" s="29"/>
      <c r="B536" s="29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</row>
    <row r="537" spans="1:47" ht="13.2" x14ac:dyDescent="0.25">
      <c r="A537" s="29"/>
      <c r="B537" s="29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</row>
    <row r="538" spans="1:47" ht="13.2" x14ac:dyDescent="0.25">
      <c r="A538" s="29"/>
      <c r="B538" s="29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</row>
    <row r="539" spans="1:47" ht="13.2" x14ac:dyDescent="0.25">
      <c r="A539" s="29"/>
      <c r="B539" s="29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</row>
    <row r="540" spans="1:47" ht="13.2" x14ac:dyDescent="0.25">
      <c r="A540" s="29"/>
      <c r="B540" s="29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</row>
    <row r="541" spans="1:47" ht="13.2" x14ac:dyDescent="0.25">
      <c r="A541" s="29"/>
      <c r="B541" s="29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</row>
    <row r="542" spans="1:47" ht="13.2" x14ac:dyDescent="0.25">
      <c r="A542" s="29"/>
      <c r="B542" s="29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</row>
    <row r="543" spans="1:47" ht="13.2" x14ac:dyDescent="0.25">
      <c r="A543" s="29"/>
      <c r="B543" s="29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</row>
    <row r="544" spans="1:47" ht="13.2" x14ac:dyDescent="0.25">
      <c r="A544" s="29"/>
      <c r="B544" s="29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</row>
    <row r="545" spans="1:47" ht="13.2" x14ac:dyDescent="0.25">
      <c r="A545" s="29"/>
      <c r="B545" s="29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</row>
    <row r="546" spans="1:47" ht="13.2" x14ac:dyDescent="0.25">
      <c r="A546" s="29"/>
      <c r="B546" s="29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</row>
    <row r="547" spans="1:47" ht="13.2" x14ac:dyDescent="0.25">
      <c r="A547" s="29"/>
      <c r="B547" s="29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</row>
    <row r="548" spans="1:47" ht="13.2" x14ac:dyDescent="0.25">
      <c r="A548" s="29"/>
      <c r="B548" s="29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</row>
    <row r="549" spans="1:47" ht="13.2" x14ac:dyDescent="0.25">
      <c r="A549" s="29"/>
      <c r="B549" s="29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</row>
    <row r="550" spans="1:47" ht="13.2" x14ac:dyDescent="0.25">
      <c r="A550" s="29"/>
      <c r="B550" s="29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</row>
    <row r="551" spans="1:47" ht="13.2" x14ac:dyDescent="0.25">
      <c r="A551" s="29"/>
      <c r="B551" s="29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</row>
    <row r="552" spans="1:47" ht="13.2" x14ac:dyDescent="0.25">
      <c r="A552" s="29"/>
      <c r="B552" s="29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</row>
    <row r="553" spans="1:47" ht="13.2" x14ac:dyDescent="0.25">
      <c r="A553" s="29"/>
      <c r="B553" s="29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</row>
    <row r="554" spans="1:47" ht="13.2" x14ac:dyDescent="0.25">
      <c r="A554" s="29"/>
      <c r="B554" s="29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</row>
    <row r="555" spans="1:47" ht="13.2" x14ac:dyDescent="0.25">
      <c r="A555" s="29"/>
      <c r="B555" s="29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</row>
    <row r="556" spans="1:47" ht="13.2" x14ac:dyDescent="0.25">
      <c r="A556" s="29"/>
      <c r="B556" s="29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</row>
    <row r="557" spans="1:47" ht="13.2" x14ac:dyDescent="0.25">
      <c r="A557" s="29"/>
      <c r="B557" s="29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</row>
    <row r="558" spans="1:47" ht="13.2" x14ac:dyDescent="0.25">
      <c r="A558" s="29"/>
      <c r="B558" s="29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</row>
    <row r="559" spans="1:47" ht="13.2" x14ac:dyDescent="0.25">
      <c r="A559" s="29"/>
      <c r="B559" s="29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</row>
    <row r="560" spans="1:47" ht="13.2" x14ac:dyDescent="0.25">
      <c r="A560" s="29"/>
      <c r="B560" s="29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</row>
    <row r="561" spans="1:47" ht="13.2" x14ac:dyDescent="0.25">
      <c r="A561" s="29"/>
      <c r="B561" s="29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</row>
    <row r="562" spans="1:47" ht="13.2" x14ac:dyDescent="0.25">
      <c r="A562" s="29"/>
      <c r="B562" s="29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</row>
    <row r="563" spans="1:47" ht="13.2" x14ac:dyDescent="0.25">
      <c r="A563" s="29"/>
      <c r="B563" s="29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</row>
    <row r="564" spans="1:47" ht="13.2" x14ac:dyDescent="0.25">
      <c r="A564" s="29"/>
      <c r="B564" s="29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</row>
    <row r="565" spans="1:47" ht="13.2" x14ac:dyDescent="0.25">
      <c r="A565" s="29"/>
      <c r="B565" s="29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</row>
    <row r="566" spans="1:47" ht="13.2" x14ac:dyDescent="0.25">
      <c r="A566" s="29"/>
      <c r="B566" s="29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</row>
    <row r="567" spans="1:47" ht="13.2" x14ac:dyDescent="0.25">
      <c r="A567" s="29"/>
      <c r="B567" s="29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</row>
    <row r="568" spans="1:47" ht="13.2" x14ac:dyDescent="0.25">
      <c r="A568" s="29"/>
      <c r="B568" s="29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</row>
    <row r="569" spans="1:47" ht="13.2" x14ac:dyDescent="0.25">
      <c r="A569" s="29"/>
      <c r="B569" s="29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</row>
    <row r="570" spans="1:47" ht="13.2" x14ac:dyDescent="0.25">
      <c r="A570" s="29"/>
      <c r="B570" s="29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</row>
    <row r="571" spans="1:47" ht="13.2" x14ac:dyDescent="0.25">
      <c r="A571" s="29"/>
      <c r="B571" s="29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</row>
    <row r="572" spans="1:47" ht="13.2" x14ac:dyDescent="0.25">
      <c r="A572" s="29"/>
      <c r="B572" s="29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</row>
    <row r="573" spans="1:47" ht="13.2" x14ac:dyDescent="0.25">
      <c r="A573" s="29"/>
      <c r="B573" s="29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</row>
    <row r="574" spans="1:47" ht="13.2" x14ac:dyDescent="0.25">
      <c r="A574" s="29"/>
      <c r="B574" s="29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</row>
    <row r="575" spans="1:47" ht="13.2" x14ac:dyDescent="0.25">
      <c r="A575" s="29"/>
      <c r="B575" s="29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</row>
    <row r="576" spans="1:47" ht="13.2" x14ac:dyDescent="0.25">
      <c r="A576" s="29"/>
      <c r="B576" s="29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</row>
    <row r="577" spans="1:47" ht="13.2" x14ac:dyDescent="0.25">
      <c r="A577" s="29"/>
      <c r="B577" s="29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</row>
    <row r="578" spans="1:47" ht="13.2" x14ac:dyDescent="0.25">
      <c r="A578" s="29"/>
      <c r="B578" s="29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</row>
    <row r="579" spans="1:47" ht="13.2" x14ac:dyDescent="0.25">
      <c r="A579" s="29"/>
      <c r="B579" s="29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</row>
    <row r="580" spans="1:47" ht="13.2" x14ac:dyDescent="0.25">
      <c r="A580" s="29"/>
      <c r="B580" s="29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</row>
    <row r="581" spans="1:47" ht="13.2" x14ac:dyDescent="0.25">
      <c r="A581" s="29"/>
      <c r="B581" s="29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</row>
    <row r="582" spans="1:47" ht="13.2" x14ac:dyDescent="0.25">
      <c r="A582" s="29"/>
      <c r="B582" s="29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</row>
    <row r="583" spans="1:47" ht="13.2" x14ac:dyDescent="0.25">
      <c r="A583" s="29"/>
      <c r="B583" s="29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</row>
    <row r="584" spans="1:47" ht="13.2" x14ac:dyDescent="0.25">
      <c r="A584" s="29"/>
      <c r="B584" s="29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</row>
    <row r="585" spans="1:47" ht="13.2" x14ac:dyDescent="0.25">
      <c r="A585" s="29"/>
      <c r="B585" s="29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</row>
    <row r="586" spans="1:47" ht="13.2" x14ac:dyDescent="0.25">
      <c r="A586" s="29"/>
      <c r="B586" s="29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</row>
    <row r="587" spans="1:47" ht="13.2" x14ac:dyDescent="0.25">
      <c r="A587" s="29"/>
      <c r="B587" s="29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</row>
    <row r="588" spans="1:47" ht="13.2" x14ac:dyDescent="0.25">
      <c r="A588" s="29"/>
      <c r="B588" s="29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</row>
    <row r="589" spans="1:47" ht="13.2" x14ac:dyDescent="0.25">
      <c r="A589" s="29"/>
      <c r="B589" s="29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</row>
    <row r="590" spans="1:47" ht="13.2" x14ac:dyDescent="0.25">
      <c r="A590" s="29"/>
      <c r="B590" s="29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</row>
    <row r="591" spans="1:47" ht="13.2" x14ac:dyDescent="0.25">
      <c r="A591" s="29"/>
      <c r="B591" s="29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</row>
    <row r="592" spans="1:47" ht="13.2" x14ac:dyDescent="0.25">
      <c r="A592" s="29"/>
      <c r="B592" s="29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</row>
    <row r="593" spans="1:47" ht="13.2" x14ac:dyDescent="0.25">
      <c r="A593" s="29"/>
      <c r="B593" s="29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</row>
    <row r="594" spans="1:47" ht="13.2" x14ac:dyDescent="0.25">
      <c r="A594" s="29"/>
      <c r="B594" s="29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</row>
    <row r="595" spans="1:47" ht="13.2" x14ac:dyDescent="0.25">
      <c r="A595" s="29"/>
      <c r="B595" s="29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</row>
    <row r="596" spans="1:47" ht="13.2" x14ac:dyDescent="0.25">
      <c r="A596" s="29"/>
      <c r="B596" s="29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</row>
    <row r="597" spans="1:47" ht="13.2" x14ac:dyDescent="0.25">
      <c r="A597" s="29"/>
      <c r="B597" s="29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</row>
    <row r="598" spans="1:47" ht="13.2" x14ac:dyDescent="0.25">
      <c r="A598" s="29"/>
      <c r="B598" s="29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</row>
    <row r="599" spans="1:47" ht="13.2" x14ac:dyDescent="0.25">
      <c r="A599" s="29"/>
      <c r="B599" s="29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</row>
    <row r="600" spans="1:47" ht="13.2" x14ac:dyDescent="0.25">
      <c r="A600" s="29"/>
      <c r="B600" s="29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</row>
    <row r="601" spans="1:47" ht="13.2" x14ac:dyDescent="0.25">
      <c r="A601" s="29"/>
      <c r="B601" s="29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</row>
    <row r="602" spans="1:47" ht="13.2" x14ac:dyDescent="0.25">
      <c r="A602" s="29"/>
      <c r="B602" s="29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</row>
    <row r="603" spans="1:47" ht="13.2" x14ac:dyDescent="0.25">
      <c r="A603" s="29"/>
      <c r="B603" s="29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</row>
    <row r="604" spans="1:47" ht="13.2" x14ac:dyDescent="0.25">
      <c r="A604" s="29"/>
      <c r="B604" s="29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</row>
    <row r="605" spans="1:47" ht="13.2" x14ac:dyDescent="0.25">
      <c r="A605" s="29"/>
      <c r="B605" s="29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</row>
    <row r="606" spans="1:47" ht="13.2" x14ac:dyDescent="0.25">
      <c r="A606" s="29"/>
      <c r="B606" s="29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</row>
    <row r="607" spans="1:47" ht="13.2" x14ac:dyDescent="0.25">
      <c r="A607" s="29"/>
      <c r="B607" s="29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</row>
    <row r="608" spans="1:47" ht="13.2" x14ac:dyDescent="0.25">
      <c r="A608" s="29"/>
      <c r="B608" s="29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</row>
    <row r="609" spans="1:47" ht="13.2" x14ac:dyDescent="0.25">
      <c r="A609" s="29"/>
      <c r="B609" s="29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</row>
    <row r="610" spans="1:47" ht="13.2" x14ac:dyDescent="0.25">
      <c r="A610" s="29"/>
      <c r="B610" s="29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</row>
    <row r="611" spans="1:47" ht="13.2" x14ac:dyDescent="0.25">
      <c r="A611" s="29"/>
      <c r="B611" s="29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</row>
    <row r="612" spans="1:47" ht="13.2" x14ac:dyDescent="0.25">
      <c r="A612" s="29"/>
      <c r="B612" s="29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</row>
    <row r="613" spans="1:47" ht="13.2" x14ac:dyDescent="0.25">
      <c r="A613" s="29"/>
      <c r="B613" s="29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</row>
    <row r="614" spans="1:47" ht="13.2" x14ac:dyDescent="0.25">
      <c r="A614" s="29"/>
      <c r="B614" s="29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</row>
    <row r="615" spans="1:47" ht="13.2" x14ac:dyDescent="0.25">
      <c r="A615" s="29"/>
      <c r="B615" s="29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</row>
    <row r="616" spans="1:47" ht="13.2" x14ac:dyDescent="0.25">
      <c r="A616" s="29"/>
      <c r="B616" s="29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</row>
    <row r="617" spans="1:47" ht="13.2" x14ac:dyDescent="0.25">
      <c r="A617" s="29"/>
      <c r="B617" s="29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</row>
    <row r="618" spans="1:47" ht="13.2" x14ac:dyDescent="0.25">
      <c r="A618" s="29"/>
      <c r="B618" s="29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</row>
    <row r="619" spans="1:47" ht="13.2" x14ac:dyDescent="0.25">
      <c r="A619" s="29"/>
      <c r="B619" s="29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</row>
    <row r="620" spans="1:47" ht="13.2" x14ac:dyDescent="0.25">
      <c r="A620" s="29"/>
      <c r="B620" s="29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</row>
    <row r="621" spans="1:47" ht="13.2" x14ac:dyDescent="0.25">
      <c r="A621" s="29"/>
      <c r="B621" s="29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</row>
    <row r="622" spans="1:47" ht="13.2" x14ac:dyDescent="0.25">
      <c r="A622" s="29"/>
      <c r="B622" s="29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</row>
    <row r="623" spans="1:47" ht="13.2" x14ac:dyDescent="0.25">
      <c r="A623" s="29"/>
      <c r="B623" s="29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</row>
    <row r="624" spans="1:47" ht="13.2" x14ac:dyDescent="0.25">
      <c r="A624" s="29"/>
      <c r="B624" s="29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</row>
    <row r="625" spans="1:47" ht="13.2" x14ac:dyDescent="0.25">
      <c r="A625" s="29"/>
      <c r="B625" s="29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</row>
    <row r="626" spans="1:47" ht="13.2" x14ac:dyDescent="0.25">
      <c r="A626" s="29"/>
      <c r="B626" s="29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</row>
    <row r="627" spans="1:47" ht="13.2" x14ac:dyDescent="0.25">
      <c r="A627" s="29"/>
      <c r="B627" s="29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</row>
    <row r="628" spans="1:47" ht="13.2" x14ac:dyDescent="0.25">
      <c r="A628" s="29"/>
      <c r="B628" s="29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</row>
    <row r="629" spans="1:47" ht="13.2" x14ac:dyDescent="0.25">
      <c r="A629" s="29"/>
      <c r="B629" s="29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</row>
    <row r="630" spans="1:47" ht="13.2" x14ac:dyDescent="0.25">
      <c r="A630" s="29"/>
      <c r="B630" s="29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</row>
    <row r="631" spans="1:47" ht="13.2" x14ac:dyDescent="0.25">
      <c r="A631" s="29"/>
      <c r="B631" s="29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</row>
    <row r="632" spans="1:47" ht="13.2" x14ac:dyDescent="0.25">
      <c r="A632" s="29"/>
      <c r="B632" s="29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</row>
    <row r="633" spans="1:47" ht="13.2" x14ac:dyDescent="0.25">
      <c r="A633" s="29"/>
      <c r="B633" s="29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</row>
    <row r="634" spans="1:47" ht="13.2" x14ac:dyDescent="0.25">
      <c r="A634" s="29"/>
      <c r="B634" s="29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</row>
    <row r="635" spans="1:47" ht="13.2" x14ac:dyDescent="0.25">
      <c r="A635" s="29"/>
      <c r="B635" s="29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</row>
    <row r="636" spans="1:47" ht="13.2" x14ac:dyDescent="0.25">
      <c r="A636" s="29"/>
      <c r="B636" s="29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</row>
    <row r="637" spans="1:47" ht="13.2" x14ac:dyDescent="0.25">
      <c r="A637" s="29"/>
      <c r="B637" s="29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</row>
    <row r="638" spans="1:47" ht="13.2" x14ac:dyDescent="0.25">
      <c r="A638" s="29"/>
      <c r="B638" s="29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</row>
    <row r="639" spans="1:47" ht="13.2" x14ac:dyDescent="0.25">
      <c r="A639" s="29"/>
      <c r="B639" s="29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</row>
    <row r="640" spans="1:47" ht="13.2" x14ac:dyDescent="0.25">
      <c r="A640" s="29"/>
      <c r="B640" s="29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</row>
    <row r="641" spans="1:47" ht="13.2" x14ac:dyDescent="0.25">
      <c r="A641" s="29"/>
      <c r="B641" s="29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</row>
    <row r="642" spans="1:47" ht="13.2" x14ac:dyDescent="0.25">
      <c r="A642" s="29"/>
      <c r="B642" s="29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</row>
    <row r="643" spans="1:47" ht="13.2" x14ac:dyDescent="0.25">
      <c r="A643" s="29"/>
      <c r="B643" s="29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</row>
    <row r="644" spans="1:47" ht="13.2" x14ac:dyDescent="0.25">
      <c r="A644" s="29"/>
      <c r="B644" s="29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</row>
    <row r="645" spans="1:47" ht="13.2" x14ac:dyDescent="0.25">
      <c r="A645" s="29"/>
      <c r="B645" s="29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</row>
    <row r="646" spans="1:47" ht="13.2" x14ac:dyDescent="0.25">
      <c r="A646" s="29"/>
      <c r="B646" s="29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</row>
    <row r="647" spans="1:47" ht="13.2" x14ac:dyDescent="0.25">
      <c r="A647" s="29"/>
      <c r="B647" s="29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</row>
    <row r="648" spans="1:47" ht="13.2" x14ac:dyDescent="0.25">
      <c r="A648" s="29"/>
      <c r="B648" s="29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</row>
    <row r="649" spans="1:47" ht="13.2" x14ac:dyDescent="0.25">
      <c r="A649" s="29"/>
      <c r="B649" s="29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</row>
    <row r="650" spans="1:47" ht="13.2" x14ac:dyDescent="0.25">
      <c r="A650" s="29"/>
      <c r="B650" s="29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</row>
    <row r="651" spans="1:47" ht="13.2" x14ac:dyDescent="0.25">
      <c r="A651" s="29"/>
      <c r="B651" s="29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</row>
    <row r="652" spans="1:47" ht="13.2" x14ac:dyDescent="0.25">
      <c r="A652" s="29"/>
      <c r="B652" s="29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</row>
    <row r="653" spans="1:47" ht="13.2" x14ac:dyDescent="0.25">
      <c r="A653" s="29"/>
      <c r="B653" s="29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</row>
    <row r="654" spans="1:47" ht="13.2" x14ac:dyDescent="0.25">
      <c r="A654" s="29"/>
      <c r="B654" s="29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</row>
    <row r="655" spans="1:47" ht="13.2" x14ac:dyDescent="0.25">
      <c r="A655" s="29"/>
      <c r="B655" s="29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</row>
    <row r="656" spans="1:47" ht="13.2" x14ac:dyDescent="0.25">
      <c r="A656" s="29"/>
      <c r="B656" s="29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</row>
    <row r="657" spans="1:47" ht="13.2" x14ac:dyDescent="0.25">
      <c r="A657" s="29"/>
      <c r="B657" s="29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</row>
    <row r="658" spans="1:47" ht="13.2" x14ac:dyDescent="0.25">
      <c r="A658" s="29"/>
      <c r="B658" s="29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</row>
    <row r="659" spans="1:47" ht="13.2" x14ac:dyDescent="0.25">
      <c r="A659" s="29"/>
      <c r="B659" s="29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</row>
    <row r="660" spans="1:47" ht="13.2" x14ac:dyDescent="0.25">
      <c r="A660" s="29"/>
      <c r="B660" s="29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</row>
    <row r="661" spans="1:47" ht="13.2" x14ac:dyDescent="0.25">
      <c r="A661" s="29"/>
      <c r="B661" s="29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</row>
    <row r="662" spans="1:47" ht="13.2" x14ac:dyDescent="0.25">
      <c r="A662" s="29"/>
      <c r="B662" s="29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</row>
    <row r="663" spans="1:47" ht="13.2" x14ac:dyDescent="0.25">
      <c r="A663" s="29"/>
      <c r="B663" s="29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</row>
    <row r="664" spans="1:47" ht="13.2" x14ac:dyDescent="0.25">
      <c r="A664" s="29"/>
      <c r="B664" s="29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</row>
    <row r="665" spans="1:47" ht="13.2" x14ac:dyDescent="0.25">
      <c r="A665" s="29"/>
      <c r="B665" s="29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</row>
    <row r="666" spans="1:47" ht="13.2" x14ac:dyDescent="0.25">
      <c r="A666" s="29"/>
      <c r="B666" s="29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</row>
    <row r="667" spans="1:47" ht="13.2" x14ac:dyDescent="0.25">
      <c r="A667" s="29"/>
      <c r="B667" s="29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</row>
    <row r="668" spans="1:47" ht="13.2" x14ac:dyDescent="0.25">
      <c r="A668" s="29"/>
      <c r="B668" s="29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</row>
    <row r="669" spans="1:47" ht="13.2" x14ac:dyDescent="0.25">
      <c r="A669" s="29"/>
      <c r="B669" s="29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</row>
    <row r="670" spans="1:47" ht="13.2" x14ac:dyDescent="0.25">
      <c r="A670" s="29"/>
      <c r="B670" s="29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</row>
    <row r="671" spans="1:47" ht="13.2" x14ac:dyDescent="0.25">
      <c r="A671" s="29"/>
      <c r="B671" s="29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</row>
    <row r="672" spans="1:47" ht="13.2" x14ac:dyDescent="0.25">
      <c r="A672" s="29"/>
      <c r="B672" s="29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</row>
    <row r="673" spans="1:47" ht="13.2" x14ac:dyDescent="0.25">
      <c r="A673" s="29"/>
      <c r="B673" s="29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</row>
    <row r="674" spans="1:47" ht="13.2" x14ac:dyDescent="0.25">
      <c r="A674" s="29"/>
      <c r="B674" s="29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</row>
    <row r="675" spans="1:47" ht="13.2" x14ac:dyDescent="0.25">
      <c r="A675" s="29"/>
      <c r="B675" s="29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</row>
    <row r="676" spans="1:47" ht="13.2" x14ac:dyDescent="0.25">
      <c r="A676" s="29"/>
      <c r="B676" s="29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</row>
    <row r="677" spans="1:47" ht="13.2" x14ac:dyDescent="0.25">
      <c r="A677" s="29"/>
      <c r="B677" s="29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</row>
    <row r="678" spans="1:47" ht="13.2" x14ac:dyDescent="0.25">
      <c r="A678" s="29"/>
      <c r="B678" s="29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</row>
    <row r="679" spans="1:47" ht="13.2" x14ac:dyDescent="0.25">
      <c r="A679" s="29"/>
      <c r="B679" s="29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</row>
    <row r="680" spans="1:47" ht="13.2" x14ac:dyDescent="0.25">
      <c r="A680" s="29"/>
      <c r="B680" s="29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</row>
    <row r="681" spans="1:47" ht="13.2" x14ac:dyDescent="0.25">
      <c r="A681" s="29"/>
      <c r="B681" s="29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</row>
    <row r="682" spans="1:47" ht="13.2" x14ac:dyDescent="0.25">
      <c r="A682" s="29"/>
      <c r="B682" s="29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</row>
    <row r="683" spans="1:47" ht="13.2" x14ac:dyDescent="0.25">
      <c r="A683" s="29"/>
      <c r="B683" s="29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</row>
    <row r="684" spans="1:47" ht="13.2" x14ac:dyDescent="0.25">
      <c r="A684" s="29"/>
      <c r="B684" s="29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</row>
    <row r="685" spans="1:47" ht="13.2" x14ac:dyDescent="0.25">
      <c r="A685" s="29"/>
      <c r="B685" s="29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</row>
    <row r="686" spans="1:47" ht="13.2" x14ac:dyDescent="0.25">
      <c r="A686" s="29"/>
      <c r="B686" s="29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</row>
    <row r="687" spans="1:47" ht="13.2" x14ac:dyDescent="0.25">
      <c r="A687" s="29"/>
      <c r="B687" s="29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</row>
    <row r="688" spans="1:47" ht="13.2" x14ac:dyDescent="0.25">
      <c r="A688" s="29"/>
      <c r="B688" s="29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</row>
    <row r="689" spans="1:47" ht="13.2" x14ac:dyDescent="0.25">
      <c r="A689" s="29"/>
      <c r="B689" s="29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</row>
    <row r="690" spans="1:47" ht="13.2" x14ac:dyDescent="0.25">
      <c r="A690" s="29"/>
      <c r="B690" s="29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</row>
    <row r="691" spans="1:47" ht="13.2" x14ac:dyDescent="0.25">
      <c r="A691" s="29"/>
      <c r="B691" s="29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</row>
    <row r="692" spans="1:47" ht="13.2" x14ac:dyDescent="0.25">
      <c r="A692" s="29"/>
      <c r="B692" s="29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</row>
    <row r="693" spans="1:47" ht="13.2" x14ac:dyDescent="0.25">
      <c r="A693" s="29"/>
      <c r="B693" s="29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</row>
    <row r="694" spans="1:47" ht="13.2" x14ac:dyDescent="0.25">
      <c r="A694" s="29"/>
      <c r="B694" s="29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</row>
    <row r="695" spans="1:47" ht="13.2" x14ac:dyDescent="0.25">
      <c r="A695" s="29"/>
      <c r="B695" s="29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</row>
    <row r="696" spans="1:47" ht="13.2" x14ac:dyDescent="0.25">
      <c r="A696" s="29"/>
      <c r="B696" s="29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</row>
    <row r="697" spans="1:47" ht="13.2" x14ac:dyDescent="0.25">
      <c r="A697" s="29"/>
      <c r="B697" s="29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</row>
    <row r="698" spans="1:47" ht="13.2" x14ac:dyDescent="0.25">
      <c r="A698" s="29"/>
      <c r="B698" s="29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</row>
    <row r="699" spans="1:47" ht="13.2" x14ac:dyDescent="0.25">
      <c r="A699" s="29"/>
      <c r="B699" s="29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</row>
    <row r="700" spans="1:47" ht="13.2" x14ac:dyDescent="0.25">
      <c r="A700" s="29"/>
      <c r="B700" s="29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</row>
    <row r="701" spans="1:47" ht="13.2" x14ac:dyDescent="0.25">
      <c r="A701" s="29"/>
      <c r="B701" s="29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</row>
    <row r="702" spans="1:47" ht="13.2" x14ac:dyDescent="0.25">
      <c r="A702" s="29"/>
      <c r="B702" s="29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</row>
    <row r="703" spans="1:47" ht="13.2" x14ac:dyDescent="0.25">
      <c r="A703" s="29"/>
      <c r="B703" s="29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</row>
    <row r="704" spans="1:47" ht="13.2" x14ac:dyDescent="0.25">
      <c r="A704" s="29"/>
      <c r="B704" s="29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</row>
    <row r="705" spans="1:47" ht="13.2" x14ac:dyDescent="0.25">
      <c r="A705" s="29"/>
      <c r="B705" s="29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</row>
    <row r="706" spans="1:47" ht="13.2" x14ac:dyDescent="0.25">
      <c r="A706" s="29"/>
      <c r="B706" s="29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</row>
    <row r="707" spans="1:47" ht="13.2" x14ac:dyDescent="0.25">
      <c r="A707" s="29"/>
      <c r="B707" s="29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</row>
    <row r="708" spans="1:47" ht="13.2" x14ac:dyDescent="0.25">
      <c r="A708" s="29"/>
      <c r="B708" s="29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</row>
    <row r="709" spans="1:47" ht="13.2" x14ac:dyDescent="0.25">
      <c r="A709" s="29"/>
      <c r="B709" s="29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</row>
    <row r="710" spans="1:47" ht="13.2" x14ac:dyDescent="0.25">
      <c r="A710" s="29"/>
      <c r="B710" s="29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</row>
    <row r="711" spans="1:47" ht="13.2" x14ac:dyDescent="0.25">
      <c r="A711" s="29"/>
      <c r="B711" s="29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</row>
    <row r="712" spans="1:47" ht="13.2" x14ac:dyDescent="0.25">
      <c r="A712" s="29"/>
      <c r="B712" s="29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</row>
    <row r="713" spans="1:47" ht="13.2" x14ac:dyDescent="0.25">
      <c r="A713" s="29"/>
      <c r="B713" s="29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</row>
    <row r="714" spans="1:47" ht="13.2" x14ac:dyDescent="0.25">
      <c r="A714" s="29"/>
      <c r="B714" s="29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</row>
    <row r="715" spans="1:47" ht="13.2" x14ac:dyDescent="0.25">
      <c r="A715" s="29"/>
      <c r="B715" s="29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</row>
    <row r="716" spans="1:47" ht="13.2" x14ac:dyDescent="0.25">
      <c r="A716" s="29"/>
      <c r="B716" s="29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</row>
    <row r="717" spans="1:47" ht="13.2" x14ac:dyDescent="0.25">
      <c r="A717" s="29"/>
      <c r="B717" s="29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</row>
    <row r="718" spans="1:47" ht="13.2" x14ac:dyDescent="0.25">
      <c r="A718" s="29"/>
      <c r="B718" s="29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</row>
    <row r="719" spans="1:47" ht="13.2" x14ac:dyDescent="0.25">
      <c r="A719" s="29"/>
      <c r="B719" s="29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</row>
    <row r="720" spans="1:47" ht="13.2" x14ac:dyDescent="0.25">
      <c r="A720" s="29"/>
      <c r="B720" s="29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</row>
    <row r="721" spans="1:47" ht="13.2" x14ac:dyDescent="0.25">
      <c r="A721" s="29"/>
      <c r="B721" s="29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</row>
    <row r="722" spans="1:47" ht="13.2" x14ac:dyDescent="0.25">
      <c r="A722" s="29"/>
      <c r="B722" s="29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</row>
    <row r="723" spans="1:47" ht="13.2" x14ac:dyDescent="0.25">
      <c r="A723" s="29"/>
      <c r="B723" s="29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</row>
    <row r="724" spans="1:47" ht="13.2" x14ac:dyDescent="0.25">
      <c r="A724" s="29"/>
      <c r="B724" s="29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</row>
    <row r="725" spans="1:47" ht="13.2" x14ac:dyDescent="0.25">
      <c r="A725" s="29"/>
      <c r="B725" s="29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</row>
    <row r="726" spans="1:47" ht="13.2" x14ac:dyDescent="0.25">
      <c r="A726" s="29"/>
      <c r="B726" s="29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</row>
    <row r="727" spans="1:47" ht="13.2" x14ac:dyDescent="0.25">
      <c r="A727" s="29"/>
      <c r="B727" s="29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</row>
    <row r="728" spans="1:47" ht="13.2" x14ac:dyDescent="0.25">
      <c r="A728" s="29"/>
      <c r="B728" s="29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</row>
    <row r="729" spans="1:47" ht="13.2" x14ac:dyDescent="0.25">
      <c r="A729" s="29"/>
      <c r="B729" s="29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</row>
    <row r="730" spans="1:47" ht="13.2" x14ac:dyDescent="0.25">
      <c r="A730" s="29"/>
      <c r="B730" s="29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</row>
    <row r="731" spans="1:47" ht="13.2" x14ac:dyDescent="0.25">
      <c r="A731" s="29"/>
      <c r="B731" s="29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</row>
    <row r="732" spans="1:47" ht="13.2" x14ac:dyDescent="0.25">
      <c r="A732" s="29"/>
      <c r="B732" s="29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</row>
    <row r="733" spans="1:47" ht="13.2" x14ac:dyDescent="0.25">
      <c r="A733" s="29"/>
      <c r="B733" s="29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</row>
    <row r="734" spans="1:47" ht="13.2" x14ac:dyDescent="0.25">
      <c r="A734" s="29"/>
      <c r="B734" s="29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</row>
    <row r="735" spans="1:47" ht="13.2" x14ac:dyDescent="0.25">
      <c r="A735" s="29"/>
      <c r="B735" s="29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</row>
    <row r="736" spans="1:47" ht="13.2" x14ac:dyDescent="0.25">
      <c r="A736" s="29"/>
      <c r="B736" s="29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</row>
    <row r="737" spans="1:47" ht="13.2" x14ac:dyDescent="0.25">
      <c r="A737" s="29"/>
      <c r="B737" s="29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</row>
    <row r="738" spans="1:47" ht="13.2" x14ac:dyDescent="0.25">
      <c r="A738" s="29"/>
      <c r="B738" s="29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</row>
    <row r="739" spans="1:47" ht="13.2" x14ac:dyDescent="0.25">
      <c r="A739" s="29"/>
      <c r="B739" s="29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</row>
    <row r="740" spans="1:47" ht="13.2" x14ac:dyDescent="0.25">
      <c r="A740" s="29"/>
      <c r="B740" s="29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</row>
    <row r="741" spans="1:47" ht="13.2" x14ac:dyDescent="0.25">
      <c r="A741" s="29"/>
      <c r="B741" s="29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</row>
    <row r="742" spans="1:47" ht="13.2" x14ac:dyDescent="0.25">
      <c r="A742" s="29"/>
      <c r="B742" s="29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</row>
    <row r="743" spans="1:47" ht="13.2" x14ac:dyDescent="0.25">
      <c r="A743" s="29"/>
      <c r="B743" s="29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</row>
    <row r="744" spans="1:47" ht="13.2" x14ac:dyDescent="0.25">
      <c r="A744" s="29"/>
      <c r="B744" s="29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</row>
    <row r="745" spans="1:47" ht="13.2" x14ac:dyDescent="0.25">
      <c r="A745" s="29"/>
      <c r="B745" s="29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</row>
    <row r="746" spans="1:47" ht="13.2" x14ac:dyDescent="0.25">
      <c r="A746" s="29"/>
      <c r="B746" s="29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</row>
    <row r="747" spans="1:47" ht="13.2" x14ac:dyDescent="0.25">
      <c r="A747" s="29"/>
      <c r="B747" s="29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</row>
    <row r="748" spans="1:47" ht="13.2" x14ac:dyDescent="0.25">
      <c r="A748" s="29"/>
      <c r="B748" s="29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</row>
    <row r="749" spans="1:47" ht="13.2" x14ac:dyDescent="0.25">
      <c r="A749" s="29"/>
      <c r="B749" s="29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</row>
    <row r="750" spans="1:47" ht="13.2" x14ac:dyDescent="0.25">
      <c r="A750" s="29"/>
      <c r="B750" s="29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</row>
    <row r="751" spans="1:47" ht="13.2" x14ac:dyDescent="0.25">
      <c r="A751" s="29"/>
      <c r="B751" s="29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</row>
    <row r="752" spans="1:47" ht="13.2" x14ac:dyDescent="0.25">
      <c r="A752" s="29"/>
      <c r="B752" s="29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</row>
    <row r="753" spans="1:47" ht="13.2" x14ac:dyDescent="0.25">
      <c r="A753" s="29"/>
      <c r="B753" s="29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</row>
    <row r="754" spans="1:47" ht="13.2" x14ac:dyDescent="0.25">
      <c r="A754" s="29"/>
      <c r="B754" s="29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</row>
    <row r="755" spans="1:47" ht="13.2" x14ac:dyDescent="0.25">
      <c r="A755" s="29"/>
      <c r="B755" s="29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</row>
    <row r="756" spans="1:47" ht="13.2" x14ac:dyDescent="0.25">
      <c r="A756" s="29"/>
      <c r="B756" s="29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</row>
    <row r="757" spans="1:47" ht="13.2" x14ac:dyDescent="0.25">
      <c r="A757" s="29"/>
      <c r="B757" s="29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</row>
    <row r="758" spans="1:47" ht="13.2" x14ac:dyDescent="0.25">
      <c r="A758" s="29"/>
      <c r="B758" s="29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</row>
    <row r="759" spans="1:47" ht="13.2" x14ac:dyDescent="0.25">
      <c r="A759" s="29"/>
      <c r="B759" s="29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</row>
    <row r="760" spans="1:47" ht="13.2" x14ac:dyDescent="0.25">
      <c r="A760" s="29"/>
      <c r="B760" s="29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</row>
    <row r="761" spans="1:47" ht="13.2" x14ac:dyDescent="0.25">
      <c r="A761" s="29"/>
      <c r="B761" s="29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</row>
    <row r="762" spans="1:47" ht="13.2" x14ac:dyDescent="0.25">
      <c r="A762" s="29"/>
      <c r="B762" s="29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</row>
    <row r="763" spans="1:47" ht="13.2" x14ac:dyDescent="0.25">
      <c r="A763" s="29"/>
      <c r="B763" s="29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</row>
    <row r="764" spans="1:47" ht="13.2" x14ac:dyDescent="0.25">
      <c r="A764" s="29"/>
      <c r="B764" s="29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</row>
    <row r="765" spans="1:47" ht="13.2" x14ac:dyDescent="0.25">
      <c r="A765" s="29"/>
      <c r="B765" s="29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</row>
    <row r="766" spans="1:47" ht="13.2" x14ac:dyDescent="0.25">
      <c r="A766" s="29"/>
      <c r="B766" s="29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</row>
    <row r="767" spans="1:47" ht="13.2" x14ac:dyDescent="0.25">
      <c r="A767" s="29"/>
      <c r="B767" s="29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</row>
    <row r="768" spans="1:47" ht="13.2" x14ac:dyDescent="0.25">
      <c r="A768" s="29"/>
      <c r="B768" s="29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</row>
    <row r="769" spans="1:47" ht="13.2" x14ac:dyDescent="0.25">
      <c r="A769" s="29"/>
      <c r="B769" s="29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</row>
    <row r="770" spans="1:47" ht="13.2" x14ac:dyDescent="0.25">
      <c r="A770" s="29"/>
      <c r="B770" s="29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</row>
    <row r="771" spans="1:47" ht="13.2" x14ac:dyDescent="0.25">
      <c r="A771" s="29"/>
      <c r="B771" s="29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</row>
    <row r="772" spans="1:47" ht="13.2" x14ac:dyDescent="0.25">
      <c r="A772" s="29"/>
      <c r="B772" s="29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</row>
    <row r="773" spans="1:47" ht="13.2" x14ac:dyDescent="0.25">
      <c r="A773" s="29"/>
      <c r="B773" s="29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</row>
    <row r="774" spans="1:47" ht="13.2" x14ac:dyDescent="0.25">
      <c r="A774" s="29"/>
      <c r="B774" s="29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</row>
    <row r="775" spans="1:47" ht="13.2" x14ac:dyDescent="0.25">
      <c r="A775" s="29"/>
      <c r="B775" s="29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</row>
    <row r="776" spans="1:47" ht="13.2" x14ac:dyDescent="0.25">
      <c r="A776" s="29"/>
      <c r="B776" s="29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</row>
    <row r="777" spans="1:47" ht="13.2" x14ac:dyDescent="0.25">
      <c r="A777" s="29"/>
      <c r="B777" s="29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</row>
    <row r="778" spans="1:47" ht="13.2" x14ac:dyDescent="0.25">
      <c r="A778" s="29"/>
      <c r="B778" s="29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</row>
    <row r="779" spans="1:47" ht="13.2" x14ac:dyDescent="0.25">
      <c r="A779" s="29"/>
      <c r="B779" s="29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</row>
    <row r="780" spans="1:47" ht="13.2" x14ac:dyDescent="0.25">
      <c r="A780" s="29"/>
      <c r="B780" s="29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</row>
    <row r="781" spans="1:47" ht="13.2" x14ac:dyDescent="0.25">
      <c r="A781" s="29"/>
      <c r="B781" s="29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</row>
    <row r="782" spans="1:47" ht="13.2" x14ac:dyDescent="0.25">
      <c r="A782" s="29"/>
      <c r="B782" s="29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</row>
    <row r="783" spans="1:47" ht="13.2" x14ac:dyDescent="0.25">
      <c r="A783" s="29"/>
      <c r="B783" s="29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</row>
    <row r="784" spans="1:47" ht="13.2" x14ac:dyDescent="0.25">
      <c r="A784" s="29"/>
      <c r="B784" s="29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</row>
    <row r="785" spans="1:47" ht="13.2" x14ac:dyDescent="0.25">
      <c r="A785" s="29"/>
      <c r="B785" s="29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</row>
    <row r="786" spans="1:47" ht="13.2" x14ac:dyDescent="0.25">
      <c r="A786" s="29"/>
      <c r="B786" s="29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</row>
    <row r="787" spans="1:47" ht="13.2" x14ac:dyDescent="0.25">
      <c r="A787" s="29"/>
      <c r="B787" s="29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</row>
    <row r="788" spans="1:47" ht="13.2" x14ac:dyDescent="0.25">
      <c r="A788" s="29"/>
      <c r="B788" s="29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</row>
    <row r="789" spans="1:47" ht="13.2" x14ac:dyDescent="0.25">
      <c r="A789" s="29"/>
      <c r="B789" s="29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</row>
    <row r="790" spans="1:47" ht="13.2" x14ac:dyDescent="0.25">
      <c r="A790" s="29"/>
      <c r="B790" s="29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</row>
    <row r="791" spans="1:47" ht="13.2" x14ac:dyDescent="0.25">
      <c r="A791" s="29"/>
      <c r="B791" s="29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</row>
    <row r="792" spans="1:47" ht="13.2" x14ac:dyDescent="0.25">
      <c r="A792" s="29"/>
      <c r="B792" s="29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</row>
    <row r="793" spans="1:47" ht="13.2" x14ac:dyDescent="0.25">
      <c r="A793" s="29"/>
      <c r="B793" s="29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</row>
    <row r="794" spans="1:47" ht="13.2" x14ac:dyDescent="0.25">
      <c r="A794" s="29"/>
      <c r="B794" s="29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</row>
    <row r="795" spans="1:47" ht="13.2" x14ac:dyDescent="0.25">
      <c r="A795" s="29"/>
      <c r="B795" s="29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</row>
    <row r="796" spans="1:47" ht="13.2" x14ac:dyDescent="0.25">
      <c r="A796" s="29"/>
      <c r="B796" s="29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</row>
    <row r="797" spans="1:47" ht="13.2" x14ac:dyDescent="0.25">
      <c r="A797" s="29"/>
      <c r="B797" s="29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</row>
    <row r="798" spans="1:47" ht="13.2" x14ac:dyDescent="0.25">
      <c r="A798" s="29"/>
      <c r="B798" s="29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</row>
    <row r="799" spans="1:47" ht="13.2" x14ac:dyDescent="0.25">
      <c r="A799" s="29"/>
      <c r="B799" s="29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</row>
    <row r="800" spans="1:47" ht="13.2" x14ac:dyDescent="0.25">
      <c r="A800" s="29"/>
      <c r="B800" s="29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</row>
    <row r="801" spans="1:47" ht="13.2" x14ac:dyDescent="0.25">
      <c r="A801" s="29"/>
      <c r="B801" s="29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</row>
    <row r="802" spans="1:47" ht="13.2" x14ac:dyDescent="0.25">
      <c r="A802" s="29"/>
      <c r="B802" s="29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</row>
    <row r="803" spans="1:47" ht="13.2" x14ac:dyDescent="0.25">
      <c r="A803" s="29"/>
      <c r="B803" s="29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</row>
    <row r="804" spans="1:47" ht="13.2" x14ac:dyDescent="0.25">
      <c r="A804" s="29"/>
      <c r="B804" s="29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</row>
    <row r="805" spans="1:47" ht="13.2" x14ac:dyDescent="0.25">
      <c r="A805" s="29"/>
      <c r="B805" s="29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</row>
    <row r="806" spans="1:47" ht="13.2" x14ac:dyDescent="0.25">
      <c r="A806" s="29"/>
      <c r="B806" s="29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</row>
    <row r="807" spans="1:47" ht="13.2" x14ac:dyDescent="0.25">
      <c r="A807" s="29"/>
      <c r="B807" s="29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</row>
    <row r="808" spans="1:47" ht="13.2" x14ac:dyDescent="0.25">
      <c r="A808" s="29"/>
      <c r="B808" s="29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</row>
    <row r="809" spans="1:47" ht="13.2" x14ac:dyDescent="0.25">
      <c r="A809" s="29"/>
      <c r="B809" s="29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</row>
    <row r="810" spans="1:47" ht="13.2" x14ac:dyDescent="0.25">
      <c r="A810" s="29"/>
      <c r="B810" s="29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</row>
    <row r="811" spans="1:47" ht="13.2" x14ac:dyDescent="0.25">
      <c r="A811" s="29"/>
      <c r="B811" s="29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</row>
    <row r="812" spans="1:47" ht="13.2" x14ac:dyDescent="0.25">
      <c r="A812" s="29"/>
      <c r="B812" s="29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</row>
    <row r="813" spans="1:47" ht="13.2" x14ac:dyDescent="0.25">
      <c r="A813" s="29"/>
      <c r="B813" s="29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</row>
    <row r="814" spans="1:47" ht="13.2" x14ac:dyDescent="0.25">
      <c r="A814" s="29"/>
      <c r="B814" s="29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</row>
    <row r="815" spans="1:47" ht="13.2" x14ac:dyDescent="0.25">
      <c r="A815" s="29"/>
      <c r="B815" s="29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</row>
    <row r="816" spans="1:47" ht="13.2" x14ac:dyDescent="0.25">
      <c r="A816" s="29"/>
      <c r="B816" s="29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</row>
    <row r="817" spans="1:47" ht="13.2" x14ac:dyDescent="0.25">
      <c r="A817" s="29"/>
      <c r="B817" s="29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</row>
    <row r="818" spans="1:47" ht="13.2" x14ac:dyDescent="0.25">
      <c r="A818" s="29"/>
      <c r="B818" s="29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</row>
    <row r="819" spans="1:47" ht="13.2" x14ac:dyDescent="0.25">
      <c r="A819" s="29"/>
      <c r="B819" s="29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</row>
    <row r="820" spans="1:47" ht="13.2" x14ac:dyDescent="0.25">
      <c r="A820" s="29"/>
      <c r="B820" s="29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</row>
    <row r="821" spans="1:47" ht="13.2" x14ac:dyDescent="0.25">
      <c r="A821" s="29"/>
      <c r="B821" s="29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</row>
    <row r="822" spans="1:47" ht="13.2" x14ac:dyDescent="0.25">
      <c r="A822" s="29"/>
      <c r="B822" s="29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</row>
    <row r="823" spans="1:47" ht="13.2" x14ac:dyDescent="0.25">
      <c r="A823" s="29"/>
      <c r="B823" s="29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</row>
    <row r="824" spans="1:47" ht="13.2" x14ac:dyDescent="0.25">
      <c r="A824" s="29"/>
      <c r="B824" s="29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</row>
    <row r="825" spans="1:47" ht="13.2" x14ac:dyDescent="0.25">
      <c r="A825" s="29"/>
      <c r="B825" s="29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</row>
    <row r="826" spans="1:47" ht="13.2" x14ac:dyDescent="0.25">
      <c r="A826" s="29"/>
      <c r="B826" s="29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</row>
    <row r="827" spans="1:47" ht="13.2" x14ac:dyDescent="0.25">
      <c r="A827" s="29"/>
      <c r="B827" s="29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</row>
    <row r="828" spans="1:47" ht="13.2" x14ac:dyDescent="0.25">
      <c r="A828" s="29"/>
      <c r="B828" s="29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</row>
    <row r="829" spans="1:47" ht="13.2" x14ac:dyDescent="0.25">
      <c r="A829" s="29"/>
      <c r="B829" s="29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</row>
    <row r="830" spans="1:47" ht="13.2" x14ac:dyDescent="0.25">
      <c r="A830" s="29"/>
      <c r="B830" s="29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</row>
    <row r="831" spans="1:47" ht="13.2" x14ac:dyDescent="0.25">
      <c r="A831" s="29"/>
      <c r="B831" s="29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</row>
    <row r="832" spans="1:47" ht="13.2" x14ac:dyDescent="0.25">
      <c r="A832" s="29"/>
      <c r="B832" s="29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</row>
    <row r="833" spans="1:47" ht="13.2" x14ac:dyDescent="0.25">
      <c r="A833" s="29"/>
      <c r="B833" s="29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</row>
    <row r="834" spans="1:47" ht="13.2" x14ac:dyDescent="0.25">
      <c r="A834" s="29"/>
      <c r="B834" s="29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</row>
    <row r="835" spans="1:47" ht="13.2" x14ac:dyDescent="0.25">
      <c r="A835" s="29"/>
      <c r="B835" s="29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</row>
    <row r="836" spans="1:47" ht="13.2" x14ac:dyDescent="0.25">
      <c r="A836" s="29"/>
      <c r="B836" s="29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</row>
    <row r="837" spans="1:47" ht="13.2" x14ac:dyDescent="0.25">
      <c r="A837" s="29"/>
      <c r="B837" s="29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</row>
    <row r="838" spans="1:47" ht="13.2" x14ac:dyDescent="0.25">
      <c r="A838" s="29"/>
      <c r="B838" s="29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</row>
    <row r="839" spans="1:47" ht="13.2" x14ac:dyDescent="0.25">
      <c r="A839" s="29"/>
      <c r="B839" s="29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</row>
    <row r="840" spans="1:47" ht="13.2" x14ac:dyDescent="0.25">
      <c r="A840" s="29"/>
      <c r="B840" s="29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</row>
    <row r="841" spans="1:47" ht="13.2" x14ac:dyDescent="0.25">
      <c r="A841" s="29"/>
      <c r="B841" s="29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</row>
    <row r="842" spans="1:47" ht="13.2" x14ac:dyDescent="0.25">
      <c r="A842" s="29"/>
      <c r="B842" s="29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</row>
    <row r="843" spans="1:47" ht="13.2" x14ac:dyDescent="0.25">
      <c r="A843" s="29"/>
      <c r="B843" s="29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</row>
    <row r="844" spans="1:47" ht="13.2" x14ac:dyDescent="0.25">
      <c r="A844" s="29"/>
      <c r="B844" s="29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</row>
    <row r="845" spans="1:47" ht="13.2" x14ac:dyDescent="0.25">
      <c r="A845" s="29"/>
      <c r="B845" s="29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</row>
    <row r="846" spans="1:47" ht="13.2" x14ac:dyDescent="0.25">
      <c r="A846" s="29"/>
      <c r="B846" s="29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</row>
    <row r="847" spans="1:47" ht="13.2" x14ac:dyDescent="0.25">
      <c r="A847" s="29"/>
      <c r="B847" s="29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</row>
    <row r="848" spans="1:47" ht="13.2" x14ac:dyDescent="0.25">
      <c r="A848" s="29"/>
      <c r="B848" s="29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</row>
    <row r="849" spans="1:47" ht="13.2" x14ac:dyDescent="0.25">
      <c r="A849" s="29"/>
      <c r="B849" s="29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</row>
    <row r="850" spans="1:47" ht="13.2" x14ac:dyDescent="0.25">
      <c r="A850" s="29"/>
      <c r="B850" s="29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</row>
    <row r="851" spans="1:47" ht="13.2" x14ac:dyDescent="0.25">
      <c r="A851" s="29"/>
      <c r="B851" s="29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</row>
    <row r="852" spans="1:47" ht="13.2" x14ac:dyDescent="0.25">
      <c r="A852" s="29"/>
      <c r="B852" s="29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</row>
    <row r="853" spans="1:47" ht="13.2" x14ac:dyDescent="0.25">
      <c r="A853" s="29"/>
      <c r="B853" s="29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</row>
    <row r="854" spans="1:47" ht="13.2" x14ac:dyDescent="0.25">
      <c r="A854" s="29"/>
      <c r="B854" s="29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</row>
    <row r="855" spans="1:47" ht="13.2" x14ac:dyDescent="0.25">
      <c r="A855" s="29"/>
      <c r="B855" s="29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</row>
    <row r="856" spans="1:47" ht="13.2" x14ac:dyDescent="0.25">
      <c r="A856" s="29"/>
      <c r="B856" s="29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</row>
    <row r="857" spans="1:47" ht="13.2" x14ac:dyDescent="0.25">
      <c r="A857" s="29"/>
      <c r="B857" s="29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</row>
    <row r="858" spans="1:47" ht="13.2" x14ac:dyDescent="0.25">
      <c r="A858" s="29"/>
      <c r="B858" s="29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</row>
    <row r="859" spans="1:47" ht="13.2" x14ac:dyDescent="0.25">
      <c r="A859" s="29"/>
      <c r="B859" s="29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</row>
    <row r="860" spans="1:47" ht="13.2" x14ac:dyDescent="0.25">
      <c r="A860" s="29"/>
      <c r="B860" s="29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</row>
    <row r="861" spans="1:47" ht="13.2" x14ac:dyDescent="0.25">
      <c r="A861" s="29"/>
      <c r="B861" s="29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</row>
    <row r="862" spans="1:47" ht="13.2" x14ac:dyDescent="0.25">
      <c r="A862" s="29"/>
      <c r="B862" s="29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</row>
    <row r="863" spans="1:47" ht="13.2" x14ac:dyDescent="0.25">
      <c r="A863" s="29"/>
      <c r="B863" s="29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</row>
    <row r="864" spans="1:47" ht="13.2" x14ac:dyDescent="0.25">
      <c r="A864" s="29"/>
      <c r="B864" s="29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</row>
    <row r="865" spans="1:47" ht="13.2" x14ac:dyDescent="0.25">
      <c r="A865" s="29"/>
      <c r="B865" s="29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</row>
    <row r="866" spans="1:47" ht="13.2" x14ac:dyDescent="0.25">
      <c r="A866" s="29"/>
      <c r="B866" s="29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</row>
    <row r="867" spans="1:47" ht="13.2" x14ac:dyDescent="0.25">
      <c r="A867" s="29"/>
      <c r="B867" s="29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</row>
    <row r="868" spans="1:47" ht="13.2" x14ac:dyDescent="0.25">
      <c r="A868" s="29"/>
      <c r="B868" s="29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</row>
    <row r="869" spans="1:47" ht="13.2" x14ac:dyDescent="0.25">
      <c r="A869" s="29"/>
      <c r="B869" s="29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</row>
    <row r="870" spans="1:47" ht="13.2" x14ac:dyDescent="0.25">
      <c r="A870" s="29"/>
      <c r="B870" s="29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</row>
    <row r="871" spans="1:47" ht="13.2" x14ac:dyDescent="0.25">
      <c r="A871" s="29"/>
      <c r="B871" s="29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</row>
    <row r="872" spans="1:47" ht="13.2" x14ac:dyDescent="0.25">
      <c r="A872" s="29"/>
      <c r="B872" s="29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</row>
    <row r="873" spans="1:47" ht="13.2" x14ac:dyDescent="0.25">
      <c r="A873" s="29"/>
      <c r="B873" s="29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</row>
    <row r="874" spans="1:47" ht="13.2" x14ac:dyDescent="0.25">
      <c r="A874" s="29"/>
      <c r="B874" s="29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</row>
    <row r="875" spans="1:47" ht="13.2" x14ac:dyDescent="0.25">
      <c r="A875" s="29"/>
      <c r="B875" s="29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</row>
    <row r="876" spans="1:47" ht="13.2" x14ac:dyDescent="0.25">
      <c r="A876" s="29"/>
      <c r="B876" s="29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</row>
    <row r="877" spans="1:47" ht="13.2" x14ac:dyDescent="0.25">
      <c r="A877" s="29"/>
      <c r="B877" s="29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</row>
    <row r="878" spans="1:47" ht="13.2" x14ac:dyDescent="0.25">
      <c r="A878" s="29"/>
      <c r="B878" s="29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</row>
    <row r="879" spans="1:47" ht="13.2" x14ac:dyDescent="0.25">
      <c r="A879" s="29"/>
      <c r="B879" s="29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</row>
    <row r="880" spans="1:47" ht="13.2" x14ac:dyDescent="0.25">
      <c r="A880" s="29"/>
      <c r="B880" s="29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</row>
    <row r="881" spans="1:47" ht="13.2" x14ac:dyDescent="0.25">
      <c r="A881" s="29"/>
      <c r="B881" s="29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</row>
    <row r="882" spans="1:47" ht="13.2" x14ac:dyDescent="0.25">
      <c r="A882" s="29"/>
      <c r="B882" s="29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</row>
    <row r="883" spans="1:47" ht="13.2" x14ac:dyDescent="0.25">
      <c r="A883" s="29"/>
      <c r="B883" s="29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</row>
    <row r="884" spans="1:47" ht="13.2" x14ac:dyDescent="0.25">
      <c r="A884" s="29"/>
      <c r="B884" s="29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</row>
    <row r="885" spans="1:47" ht="13.2" x14ac:dyDescent="0.25">
      <c r="A885" s="29"/>
      <c r="B885" s="29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</row>
    <row r="886" spans="1:47" ht="13.2" x14ac:dyDescent="0.25">
      <c r="A886" s="29"/>
      <c r="B886" s="29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</row>
    <row r="887" spans="1:47" ht="13.2" x14ac:dyDescent="0.25">
      <c r="A887" s="29"/>
      <c r="B887" s="29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</row>
    <row r="888" spans="1:47" ht="13.2" x14ac:dyDescent="0.25">
      <c r="A888" s="29"/>
      <c r="B888" s="29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</row>
    <row r="889" spans="1:47" ht="13.2" x14ac:dyDescent="0.25">
      <c r="A889" s="29"/>
      <c r="B889" s="29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</row>
    <row r="890" spans="1:47" ht="13.2" x14ac:dyDescent="0.25">
      <c r="A890" s="29"/>
      <c r="B890" s="29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</row>
    <row r="891" spans="1:47" ht="13.2" x14ac:dyDescent="0.25">
      <c r="A891" s="29"/>
      <c r="B891" s="29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</row>
    <row r="892" spans="1:47" ht="13.2" x14ac:dyDescent="0.25">
      <c r="A892" s="29"/>
      <c r="B892" s="29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</row>
    <row r="893" spans="1:47" ht="13.2" x14ac:dyDescent="0.25">
      <c r="A893" s="29"/>
      <c r="B893" s="29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</row>
    <row r="894" spans="1:47" ht="13.2" x14ac:dyDescent="0.25">
      <c r="A894" s="29"/>
      <c r="B894" s="29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</row>
    <row r="895" spans="1:47" ht="13.2" x14ac:dyDescent="0.25">
      <c r="A895" s="29"/>
      <c r="B895" s="29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</row>
    <row r="896" spans="1:47" ht="13.2" x14ac:dyDescent="0.25">
      <c r="A896" s="29"/>
      <c r="B896" s="29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</row>
    <row r="897" spans="1:47" ht="13.2" x14ac:dyDescent="0.25">
      <c r="A897" s="29"/>
      <c r="B897" s="29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</row>
    <row r="898" spans="1:47" ht="13.2" x14ac:dyDescent="0.25">
      <c r="A898" s="29"/>
      <c r="B898" s="29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</row>
    <row r="899" spans="1:47" ht="13.2" x14ac:dyDescent="0.25">
      <c r="A899" s="29"/>
      <c r="B899" s="29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</row>
    <row r="900" spans="1:47" ht="13.2" x14ac:dyDescent="0.25">
      <c r="A900" s="29"/>
      <c r="B900" s="29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</row>
    <row r="901" spans="1:47" ht="13.2" x14ac:dyDescent="0.25">
      <c r="A901" s="29"/>
      <c r="B901" s="29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</row>
    <row r="902" spans="1:47" ht="13.2" x14ac:dyDescent="0.25">
      <c r="A902" s="29"/>
      <c r="B902" s="29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</row>
    <row r="903" spans="1:47" ht="13.2" x14ac:dyDescent="0.25">
      <c r="A903" s="29"/>
      <c r="B903" s="29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</row>
    <row r="904" spans="1:47" ht="13.2" x14ac:dyDescent="0.25">
      <c r="A904" s="29"/>
      <c r="B904" s="29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</row>
    <row r="905" spans="1:47" ht="13.2" x14ac:dyDescent="0.25">
      <c r="A905" s="29"/>
      <c r="B905" s="29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</row>
    <row r="906" spans="1:47" ht="13.2" x14ac:dyDescent="0.25">
      <c r="A906" s="29"/>
      <c r="B906" s="29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</row>
    <row r="907" spans="1:47" ht="13.2" x14ac:dyDescent="0.25">
      <c r="A907" s="29"/>
      <c r="B907" s="29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</row>
    <row r="908" spans="1:47" ht="13.2" x14ac:dyDescent="0.25">
      <c r="A908" s="29"/>
      <c r="B908" s="29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</row>
    <row r="909" spans="1:47" ht="13.2" x14ac:dyDescent="0.25">
      <c r="A909" s="29"/>
      <c r="B909" s="29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</row>
    <row r="910" spans="1:47" ht="13.2" x14ac:dyDescent="0.25">
      <c r="A910" s="29"/>
      <c r="B910" s="29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</row>
    <row r="911" spans="1:47" ht="13.2" x14ac:dyDescent="0.25">
      <c r="A911" s="29"/>
      <c r="B911" s="29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</row>
    <row r="912" spans="1:47" ht="13.2" x14ac:dyDescent="0.25">
      <c r="A912" s="29"/>
      <c r="B912" s="29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</row>
    <row r="913" spans="1:47" ht="13.2" x14ac:dyDescent="0.25">
      <c r="A913" s="29"/>
      <c r="B913" s="29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</row>
    <row r="914" spans="1:47" ht="13.2" x14ac:dyDescent="0.25">
      <c r="A914" s="29"/>
      <c r="B914" s="29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</row>
    <row r="915" spans="1:47" ht="13.2" x14ac:dyDescent="0.25">
      <c r="A915" s="29"/>
      <c r="B915" s="29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</row>
    <row r="916" spans="1:47" ht="13.2" x14ac:dyDescent="0.25">
      <c r="A916" s="29"/>
      <c r="B916" s="29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</row>
    <row r="917" spans="1:47" ht="13.2" x14ac:dyDescent="0.25">
      <c r="A917" s="29"/>
      <c r="B917" s="29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</row>
    <row r="918" spans="1:47" ht="13.2" x14ac:dyDescent="0.25">
      <c r="A918" s="29"/>
      <c r="B918" s="29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</row>
    <row r="919" spans="1:47" ht="13.2" x14ac:dyDescent="0.25">
      <c r="A919" s="29"/>
      <c r="B919" s="29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</row>
    <row r="920" spans="1:47" ht="13.2" x14ac:dyDescent="0.25">
      <c r="A920" s="29"/>
      <c r="B920" s="29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</row>
    <row r="921" spans="1:47" ht="13.2" x14ac:dyDescent="0.25">
      <c r="A921" s="29"/>
      <c r="B921" s="29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</row>
    <row r="922" spans="1:47" ht="13.2" x14ac:dyDescent="0.25">
      <c r="A922" s="29"/>
      <c r="B922" s="29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</row>
    <row r="923" spans="1:47" ht="13.2" x14ac:dyDescent="0.25">
      <c r="A923" s="29"/>
      <c r="B923" s="29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</row>
    <row r="924" spans="1:47" ht="13.2" x14ac:dyDescent="0.25">
      <c r="A924" s="29"/>
      <c r="B924" s="29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</row>
    <row r="925" spans="1:47" ht="13.2" x14ac:dyDescent="0.25">
      <c r="A925" s="29"/>
      <c r="B925" s="29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</row>
    <row r="926" spans="1:47" ht="13.2" x14ac:dyDescent="0.25">
      <c r="A926" s="29"/>
      <c r="B926" s="29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</row>
    <row r="927" spans="1:47" ht="13.2" x14ac:dyDescent="0.25">
      <c r="A927" s="29"/>
      <c r="B927" s="29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</row>
    <row r="928" spans="1:47" ht="13.2" x14ac:dyDescent="0.25">
      <c r="A928" s="29"/>
      <c r="B928" s="29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</row>
    <row r="929" spans="1:47" ht="13.2" x14ac:dyDescent="0.25">
      <c r="A929" s="29"/>
      <c r="B929" s="29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</row>
    <row r="930" spans="1:47" ht="13.2" x14ac:dyDescent="0.25">
      <c r="A930" s="29"/>
      <c r="B930" s="29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</row>
    <row r="931" spans="1:47" ht="13.2" x14ac:dyDescent="0.25">
      <c r="A931" s="29"/>
      <c r="B931" s="29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</row>
    <row r="932" spans="1:47" ht="13.2" x14ac:dyDescent="0.25">
      <c r="A932" s="29"/>
      <c r="B932" s="29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</row>
    <row r="933" spans="1:47" ht="13.2" x14ac:dyDescent="0.25">
      <c r="A933" s="29"/>
      <c r="B933" s="29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</row>
    <row r="934" spans="1:47" ht="13.2" x14ac:dyDescent="0.25">
      <c r="A934" s="29"/>
      <c r="B934" s="29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</row>
    <row r="935" spans="1:47" ht="13.2" x14ac:dyDescent="0.25">
      <c r="A935" s="29"/>
      <c r="B935" s="29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</row>
    <row r="936" spans="1:47" ht="13.2" x14ac:dyDescent="0.25">
      <c r="A936" s="29"/>
      <c r="B936" s="29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</row>
    <row r="937" spans="1:47" ht="13.2" x14ac:dyDescent="0.25">
      <c r="A937" s="29"/>
      <c r="B937" s="29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</row>
    <row r="938" spans="1:47" ht="13.2" x14ac:dyDescent="0.25">
      <c r="A938" s="29"/>
      <c r="B938" s="29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</row>
    <row r="939" spans="1:47" ht="13.2" x14ac:dyDescent="0.25">
      <c r="A939" s="29"/>
      <c r="B939" s="29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</row>
    <row r="940" spans="1:47" ht="13.2" x14ac:dyDescent="0.25">
      <c r="A940" s="29"/>
      <c r="B940" s="29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</row>
    <row r="941" spans="1:47" ht="13.2" x14ac:dyDescent="0.25">
      <c r="A941" s="29"/>
      <c r="B941" s="29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</row>
    <row r="942" spans="1:47" ht="13.2" x14ac:dyDescent="0.25">
      <c r="A942" s="29"/>
      <c r="B942" s="29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</row>
    <row r="943" spans="1:47" ht="13.2" x14ac:dyDescent="0.25">
      <c r="A943" s="29"/>
      <c r="B943" s="29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</row>
    <row r="944" spans="1:47" ht="13.2" x14ac:dyDescent="0.25">
      <c r="A944" s="29"/>
      <c r="B944" s="29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</row>
    <row r="945" spans="1:47" ht="13.2" x14ac:dyDescent="0.25">
      <c r="A945" s="29"/>
      <c r="B945" s="29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</row>
    <row r="946" spans="1:47" ht="13.2" x14ac:dyDescent="0.25">
      <c r="A946" s="29"/>
      <c r="B946" s="29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</row>
    <row r="947" spans="1:47" ht="13.2" x14ac:dyDescent="0.25">
      <c r="A947" s="29"/>
      <c r="B947" s="29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</row>
    <row r="948" spans="1:47" ht="13.2" x14ac:dyDescent="0.25">
      <c r="A948" s="29"/>
      <c r="B948" s="29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</row>
    <row r="949" spans="1:47" ht="13.2" x14ac:dyDescent="0.25">
      <c r="A949" s="29"/>
      <c r="B949" s="29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</row>
    <row r="950" spans="1:47" ht="13.2" x14ac:dyDescent="0.25">
      <c r="A950" s="29"/>
      <c r="B950" s="29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</row>
    <row r="951" spans="1:47" ht="13.2" x14ac:dyDescent="0.25">
      <c r="A951" s="29"/>
      <c r="B951" s="29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</row>
    <row r="952" spans="1:47" ht="13.2" x14ac:dyDescent="0.25">
      <c r="A952" s="29"/>
      <c r="B952" s="29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</row>
    <row r="953" spans="1:47" ht="13.2" x14ac:dyDescent="0.25">
      <c r="A953" s="29"/>
      <c r="B953" s="29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</row>
    <row r="954" spans="1:47" ht="13.2" x14ac:dyDescent="0.25">
      <c r="A954" s="29"/>
      <c r="B954" s="29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</row>
    <row r="955" spans="1:47" ht="13.2" x14ac:dyDescent="0.25">
      <c r="A955" s="29"/>
      <c r="B955" s="29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</row>
    <row r="956" spans="1:47" ht="13.2" x14ac:dyDescent="0.25">
      <c r="A956" s="29"/>
      <c r="B956" s="29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</row>
    <row r="957" spans="1:47" ht="13.2" x14ac:dyDescent="0.25">
      <c r="A957" s="29"/>
      <c r="B957" s="29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</row>
    <row r="958" spans="1:47" ht="13.2" x14ac:dyDescent="0.25">
      <c r="A958" s="29"/>
      <c r="B958" s="29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</row>
    <row r="959" spans="1:47" ht="13.2" x14ac:dyDescent="0.25">
      <c r="A959" s="29"/>
      <c r="B959" s="29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</row>
    <row r="960" spans="1:47" ht="13.2" x14ac:dyDescent="0.25">
      <c r="A960" s="29"/>
      <c r="B960" s="29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</row>
    <row r="961" spans="1:47" ht="13.2" x14ac:dyDescent="0.25">
      <c r="A961" s="29"/>
      <c r="B961" s="29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</row>
    <row r="962" spans="1:47" ht="13.2" x14ac:dyDescent="0.25">
      <c r="A962" s="29"/>
      <c r="B962" s="29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</row>
    <row r="963" spans="1:47" ht="13.2" x14ac:dyDescent="0.25">
      <c r="A963" s="29"/>
      <c r="B963" s="29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</row>
    <row r="964" spans="1:47" ht="13.2" x14ac:dyDescent="0.25">
      <c r="A964" s="29"/>
      <c r="B964" s="29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</row>
    <row r="965" spans="1:47" ht="13.2" x14ac:dyDescent="0.25">
      <c r="A965" s="29"/>
      <c r="B965" s="29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</row>
    <row r="966" spans="1:47" ht="13.2" x14ac:dyDescent="0.25">
      <c r="A966" s="29"/>
      <c r="B966" s="29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</row>
    <row r="967" spans="1:47" ht="13.2" x14ac:dyDescent="0.25">
      <c r="A967" s="29"/>
      <c r="B967" s="29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</row>
    <row r="968" spans="1:47" ht="13.2" x14ac:dyDescent="0.25">
      <c r="A968" s="29"/>
      <c r="B968" s="29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</row>
    <row r="969" spans="1:47" ht="13.2" x14ac:dyDescent="0.25">
      <c r="A969" s="29"/>
      <c r="B969" s="29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</row>
    <row r="970" spans="1:47" ht="13.2" x14ac:dyDescent="0.25">
      <c r="A970" s="29"/>
      <c r="B970" s="29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</row>
    <row r="971" spans="1:47" ht="13.2" x14ac:dyDescent="0.25">
      <c r="A971" s="29"/>
      <c r="B971" s="29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</row>
    <row r="972" spans="1:47" ht="13.2" x14ac:dyDescent="0.25">
      <c r="A972" s="29"/>
      <c r="B972" s="29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</row>
    <row r="973" spans="1:47" ht="13.2" x14ac:dyDescent="0.25">
      <c r="A973" s="29"/>
      <c r="B973" s="29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</row>
    <row r="974" spans="1:47" ht="13.2" x14ac:dyDescent="0.25">
      <c r="A974" s="29"/>
      <c r="B974" s="29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</row>
    <row r="975" spans="1:47" ht="13.2" x14ac:dyDescent="0.25">
      <c r="A975" s="29"/>
      <c r="B975" s="29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</row>
    <row r="976" spans="1:47" ht="13.2" x14ac:dyDescent="0.25">
      <c r="A976" s="29"/>
      <c r="B976" s="29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</row>
    <row r="977" spans="1:47" ht="13.2" x14ac:dyDescent="0.25">
      <c r="A977" s="29"/>
      <c r="B977" s="29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</row>
    <row r="978" spans="1:47" ht="13.2" x14ac:dyDescent="0.25">
      <c r="A978" s="29"/>
      <c r="B978" s="29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</row>
    <row r="979" spans="1:47" ht="13.2" x14ac:dyDescent="0.25">
      <c r="A979" s="29"/>
      <c r="B979" s="29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</row>
    <row r="980" spans="1:47" ht="13.2" x14ac:dyDescent="0.25">
      <c r="A980" s="29"/>
      <c r="B980" s="29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</row>
    <row r="981" spans="1:47" ht="13.2" x14ac:dyDescent="0.25">
      <c r="A981" s="29"/>
      <c r="B981" s="29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</row>
    <row r="982" spans="1:47" ht="13.2" x14ac:dyDescent="0.25">
      <c r="A982" s="29"/>
      <c r="B982" s="29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</row>
    <row r="983" spans="1:47" ht="13.2" x14ac:dyDescent="0.25">
      <c r="A983" s="29"/>
      <c r="B983" s="29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</row>
    <row r="984" spans="1:47" ht="13.2" x14ac:dyDescent="0.25">
      <c r="A984" s="29"/>
      <c r="B984" s="29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</row>
    <row r="985" spans="1:47" ht="13.2" x14ac:dyDescent="0.25">
      <c r="A985" s="29"/>
      <c r="B985" s="29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</row>
    <row r="986" spans="1:47" ht="13.2" x14ac:dyDescent="0.25">
      <c r="A986" s="29"/>
      <c r="B986" s="29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</row>
    <row r="987" spans="1:47" ht="13.2" x14ac:dyDescent="0.25">
      <c r="A987" s="29"/>
      <c r="B987" s="29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</row>
    <row r="988" spans="1:47" ht="13.2" x14ac:dyDescent="0.25">
      <c r="A988" s="29"/>
      <c r="B988" s="29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</row>
    <row r="989" spans="1:47" ht="13.2" x14ac:dyDescent="0.25">
      <c r="A989" s="29"/>
      <c r="B989" s="29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</row>
    <row r="990" spans="1:47" ht="13.2" x14ac:dyDescent="0.25">
      <c r="A990" s="29"/>
      <c r="B990" s="29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</row>
  </sheetData>
  <mergeCells count="3">
    <mergeCell ref="A2:A5"/>
    <mergeCell ref="A6:A9"/>
    <mergeCell ref="A16:A17"/>
  </mergeCells>
  <conditionalFormatting sqref="C2:AG9 E11:Z11 E24:Z24 D27:AG28 AA31:AA36 C31:Z37 AB31:AG37 A34">
    <cfRule type="containsBlanks" dxfId="1" priority="1">
      <formula>LEN(TRIM(C2))=0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U10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26.33203125" customWidth="1"/>
    <col min="2" max="2" width="45.109375" customWidth="1"/>
    <col min="3" max="3" width="30.88671875" customWidth="1"/>
    <col min="4" max="4" width="14" customWidth="1"/>
    <col min="5" max="5" width="14.109375" customWidth="1"/>
    <col min="6" max="6" width="15.88671875" customWidth="1"/>
    <col min="7" max="7" width="14.88671875" customWidth="1"/>
    <col min="8" max="8" width="14" customWidth="1"/>
    <col min="9" max="9" width="12.6640625" customWidth="1"/>
    <col min="10" max="11" width="14.88671875" customWidth="1"/>
    <col min="12" max="12" width="14" customWidth="1"/>
    <col min="13" max="13" width="12.6640625" customWidth="1"/>
    <col min="14" max="15" width="14" customWidth="1"/>
    <col min="16" max="16" width="14.88671875" customWidth="1"/>
    <col min="17" max="21" width="14" customWidth="1"/>
    <col min="22" max="22" width="14.88671875" customWidth="1"/>
    <col min="23" max="23" width="14" customWidth="1"/>
    <col min="24" max="24" width="12.6640625" customWidth="1"/>
    <col min="25" max="25" width="14.88671875" customWidth="1"/>
    <col min="26" max="26" width="15.77734375" customWidth="1"/>
    <col min="27" max="27" width="17.44140625" customWidth="1"/>
    <col min="28" max="30" width="14" customWidth="1"/>
    <col min="31" max="31" width="14.88671875" customWidth="1"/>
    <col min="32" max="32" width="14.77734375" customWidth="1"/>
    <col min="33" max="33" width="14" customWidth="1"/>
    <col min="34" max="47" width="36.33203125" customWidth="1"/>
  </cols>
  <sheetData>
    <row r="1" spans="1:47" ht="15.75" customHeight="1" x14ac:dyDescent="0.25">
      <c r="A1" s="6" t="s">
        <v>84</v>
      </c>
      <c r="B1" s="6" t="s">
        <v>197</v>
      </c>
      <c r="C1" s="6" t="s">
        <v>85</v>
      </c>
      <c r="D1" s="52" t="s">
        <v>86</v>
      </c>
      <c r="E1" s="69" t="s">
        <v>87</v>
      </c>
      <c r="F1" s="52" t="s">
        <v>88</v>
      </c>
      <c r="G1" s="52" t="s">
        <v>89</v>
      </c>
      <c r="H1" s="52" t="s">
        <v>90</v>
      </c>
      <c r="I1" s="52" t="s">
        <v>91</v>
      </c>
      <c r="J1" s="52" t="s">
        <v>92</v>
      </c>
      <c r="K1" s="52" t="s">
        <v>93</v>
      </c>
      <c r="L1" s="52" t="s">
        <v>94</v>
      </c>
      <c r="M1" s="52" t="s">
        <v>95</v>
      </c>
      <c r="N1" s="52" t="s">
        <v>96</v>
      </c>
      <c r="O1" s="52" t="s">
        <v>97</v>
      </c>
      <c r="P1" s="52" t="s">
        <v>98</v>
      </c>
      <c r="Q1" s="52" t="s">
        <v>99</v>
      </c>
      <c r="R1" s="52" t="s">
        <v>100</v>
      </c>
      <c r="S1" s="52" t="s">
        <v>101</v>
      </c>
      <c r="T1" s="52" t="s">
        <v>102</v>
      </c>
      <c r="U1" s="52" t="s">
        <v>103</v>
      </c>
      <c r="V1" s="52" t="s">
        <v>104</v>
      </c>
      <c r="W1" s="52" t="s">
        <v>105</v>
      </c>
      <c r="X1" s="52" t="s">
        <v>106</v>
      </c>
      <c r="Y1" s="52" t="s">
        <v>107</v>
      </c>
      <c r="Z1" s="52" t="s">
        <v>108</v>
      </c>
      <c r="AA1" s="6" t="s">
        <v>109</v>
      </c>
      <c r="AB1" s="6" t="s">
        <v>110</v>
      </c>
      <c r="AC1" s="6" t="s">
        <v>111</v>
      </c>
      <c r="AD1" s="6" t="s">
        <v>113</v>
      </c>
      <c r="AE1" s="6" t="s">
        <v>112</v>
      </c>
      <c r="AF1" s="6" t="s">
        <v>114</v>
      </c>
      <c r="AG1" s="6" t="s">
        <v>115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ht="15.75" customHeight="1" x14ac:dyDescent="0.25">
      <c r="A2" s="106" t="s">
        <v>116</v>
      </c>
      <c r="B2" s="9" t="s">
        <v>2</v>
      </c>
      <c r="C2" s="9" t="s">
        <v>117</v>
      </c>
      <c r="D2" s="70">
        <v>42.6</v>
      </c>
      <c r="E2" s="70">
        <v>76.599999999999994</v>
      </c>
      <c r="F2" s="70">
        <v>25.9</v>
      </c>
      <c r="G2" s="70">
        <v>74</v>
      </c>
      <c r="H2" s="70">
        <v>11</v>
      </c>
      <c r="I2" s="71"/>
      <c r="J2" s="70">
        <v>64</v>
      </c>
      <c r="K2" s="70">
        <v>21.5</v>
      </c>
      <c r="L2" s="70">
        <v>44</v>
      </c>
      <c r="M2" s="70">
        <v>73.7</v>
      </c>
      <c r="N2" s="70">
        <v>89</v>
      </c>
      <c r="O2" s="70">
        <v>53</v>
      </c>
      <c r="P2" s="70">
        <v>75</v>
      </c>
      <c r="Q2" s="70">
        <v>53</v>
      </c>
      <c r="R2" s="70">
        <v>32.700000000000003</v>
      </c>
      <c r="S2" s="70">
        <v>36</v>
      </c>
      <c r="T2" s="70">
        <v>25.9</v>
      </c>
      <c r="U2" s="70">
        <v>55</v>
      </c>
      <c r="V2" s="70">
        <v>60.1</v>
      </c>
      <c r="W2" s="70">
        <v>59.5</v>
      </c>
      <c r="X2" s="70">
        <v>20.84</v>
      </c>
      <c r="Y2" s="70">
        <v>61</v>
      </c>
      <c r="Z2" s="70">
        <v>31.66</v>
      </c>
      <c r="AA2" s="72">
        <v>84</v>
      </c>
      <c r="AB2" s="72">
        <v>84</v>
      </c>
      <c r="AC2" s="72">
        <v>36</v>
      </c>
      <c r="AD2" s="72">
        <v>70</v>
      </c>
      <c r="AE2" s="73">
        <v>78.400000000000006</v>
      </c>
      <c r="AF2" s="73">
        <v>53.6</v>
      </c>
      <c r="AG2" s="73">
        <v>62</v>
      </c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 ht="15.75" customHeight="1" x14ac:dyDescent="0.25">
      <c r="A3" s="102"/>
      <c r="B3" s="9" t="s">
        <v>4</v>
      </c>
      <c r="C3" s="9" t="s">
        <v>117</v>
      </c>
      <c r="D3" s="45">
        <v>71.2</v>
      </c>
      <c r="E3" s="51"/>
      <c r="F3" s="51">
        <v>66.3</v>
      </c>
      <c r="G3" s="51">
        <v>94</v>
      </c>
      <c r="H3" s="51">
        <v>20</v>
      </c>
      <c r="I3" s="45"/>
      <c r="J3" s="45"/>
      <c r="K3" s="45"/>
      <c r="L3" s="45"/>
      <c r="M3" s="51"/>
      <c r="N3" s="45"/>
      <c r="O3" s="51">
        <v>89</v>
      </c>
      <c r="P3" s="45"/>
      <c r="Q3" s="51">
        <v>71.3</v>
      </c>
      <c r="R3" s="51"/>
      <c r="S3" s="51">
        <v>72</v>
      </c>
      <c r="T3" s="51">
        <v>56.5</v>
      </c>
      <c r="U3" s="51">
        <v>91</v>
      </c>
      <c r="V3" s="45"/>
      <c r="W3" s="45">
        <v>77.099999999999994</v>
      </c>
      <c r="X3" s="45"/>
      <c r="Y3" s="45"/>
      <c r="Z3" s="51">
        <v>38.67</v>
      </c>
      <c r="AA3" s="9" t="s">
        <v>198</v>
      </c>
      <c r="AB3" s="74">
        <v>97.1</v>
      </c>
      <c r="AC3" s="74"/>
      <c r="AD3" s="74"/>
      <c r="AE3" s="73">
        <v>99.6</v>
      </c>
      <c r="AF3" s="73">
        <v>80.3</v>
      </c>
      <c r="AG3" s="73">
        <v>83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7" ht="15.75" customHeight="1" x14ac:dyDescent="0.25">
      <c r="A4" s="102"/>
      <c r="B4" s="9" t="s">
        <v>6</v>
      </c>
      <c r="C4" s="9" t="s">
        <v>117</v>
      </c>
      <c r="D4" s="45">
        <v>13.1</v>
      </c>
      <c r="E4" s="45"/>
      <c r="F4" s="51">
        <v>17.600000000000001</v>
      </c>
      <c r="G4" s="51">
        <v>25</v>
      </c>
      <c r="H4" s="51">
        <v>1</v>
      </c>
      <c r="I4" s="45"/>
      <c r="J4" s="45"/>
      <c r="K4" s="45"/>
      <c r="L4" s="45"/>
      <c r="M4" s="51"/>
      <c r="N4" s="45"/>
      <c r="O4" s="51">
        <v>21</v>
      </c>
      <c r="P4" s="45"/>
      <c r="Q4" s="51">
        <v>11.4</v>
      </c>
      <c r="R4" s="51"/>
      <c r="S4" s="51">
        <v>11</v>
      </c>
      <c r="T4" s="51">
        <v>3.8</v>
      </c>
      <c r="U4" s="51">
        <v>6</v>
      </c>
      <c r="V4" s="45"/>
      <c r="W4" s="45">
        <v>13.8</v>
      </c>
      <c r="X4" s="51">
        <v>5.3</v>
      </c>
      <c r="Y4" s="45"/>
      <c r="Z4" s="51">
        <v>1.01</v>
      </c>
      <c r="AA4" s="9" t="s">
        <v>198</v>
      </c>
      <c r="AB4" s="74">
        <v>64.5</v>
      </c>
      <c r="AC4" s="74"/>
      <c r="AD4" s="74"/>
      <c r="AE4" s="73">
        <v>69.599999999999994</v>
      </c>
      <c r="AF4" s="73">
        <v>34.9</v>
      </c>
      <c r="AG4" s="73">
        <v>27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ht="15.75" customHeight="1" x14ac:dyDescent="0.25">
      <c r="A5" s="102"/>
      <c r="B5" s="9" t="s">
        <v>8</v>
      </c>
      <c r="C5" s="9" t="s">
        <v>117</v>
      </c>
      <c r="D5" s="51">
        <v>70</v>
      </c>
      <c r="E5" s="51">
        <v>100</v>
      </c>
      <c r="F5" s="51">
        <v>70</v>
      </c>
      <c r="G5" s="51">
        <v>100</v>
      </c>
      <c r="H5" s="51">
        <v>90</v>
      </c>
      <c r="I5" s="51">
        <v>100</v>
      </c>
      <c r="J5" s="51">
        <v>100</v>
      </c>
      <c r="K5" s="51">
        <v>62</v>
      </c>
      <c r="L5" s="51">
        <v>75</v>
      </c>
      <c r="M5" s="51">
        <v>100</v>
      </c>
      <c r="N5" s="51">
        <v>99.8</v>
      </c>
      <c r="O5" s="51">
        <v>100</v>
      </c>
      <c r="P5" s="51">
        <v>100</v>
      </c>
      <c r="Q5" s="51">
        <v>100</v>
      </c>
      <c r="R5" s="51">
        <v>75</v>
      </c>
      <c r="S5" s="51">
        <v>80</v>
      </c>
      <c r="T5" s="51">
        <v>70</v>
      </c>
      <c r="U5" s="51">
        <v>100</v>
      </c>
      <c r="V5" s="51">
        <v>100</v>
      </c>
      <c r="W5" s="51">
        <v>70</v>
      </c>
      <c r="X5" s="45">
        <v>60</v>
      </c>
      <c r="Y5" s="51">
        <v>100</v>
      </c>
      <c r="Z5" s="45">
        <v>81.3</v>
      </c>
      <c r="AA5" s="75">
        <v>100</v>
      </c>
      <c r="AB5" s="75">
        <v>100</v>
      </c>
      <c r="AC5" s="75">
        <v>78</v>
      </c>
      <c r="AD5" s="75">
        <v>100</v>
      </c>
      <c r="AE5" s="76">
        <v>100</v>
      </c>
      <c r="AF5" s="76">
        <v>100</v>
      </c>
      <c r="AG5" s="76">
        <v>100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ht="15.75" customHeight="1" x14ac:dyDescent="0.25">
      <c r="A6" s="102"/>
      <c r="B6" s="9" t="s">
        <v>10</v>
      </c>
      <c r="C6" s="9" t="s">
        <v>117</v>
      </c>
      <c r="D6" s="45"/>
      <c r="E6" s="45"/>
      <c r="F6" s="51"/>
      <c r="G6" s="45"/>
      <c r="H6" s="45">
        <v>50</v>
      </c>
      <c r="I6" s="51"/>
      <c r="J6" s="45"/>
      <c r="K6" s="45"/>
      <c r="L6" s="45"/>
      <c r="M6" s="45"/>
      <c r="N6" s="51"/>
      <c r="O6" s="45"/>
      <c r="P6" s="45"/>
      <c r="Q6" s="45"/>
      <c r="R6" s="45"/>
      <c r="S6" s="51"/>
      <c r="T6" s="45"/>
      <c r="U6" s="45"/>
      <c r="V6" s="45"/>
      <c r="W6" s="45"/>
      <c r="X6" s="45"/>
      <c r="Y6" s="51"/>
      <c r="Z6" s="51">
        <v>90</v>
      </c>
      <c r="AA6" s="9"/>
      <c r="AB6" s="9"/>
      <c r="AC6" s="9"/>
      <c r="AD6" s="9"/>
      <c r="AE6" s="77"/>
      <c r="AF6" s="77"/>
      <c r="AG6" s="77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</row>
    <row r="7" spans="1:47" ht="15.75" customHeight="1" x14ac:dyDescent="0.25">
      <c r="A7" s="102"/>
      <c r="B7" s="9" t="s">
        <v>12</v>
      </c>
      <c r="C7" s="9" t="s">
        <v>117</v>
      </c>
      <c r="D7" s="45"/>
      <c r="E7" s="45"/>
      <c r="F7" s="51"/>
      <c r="G7" s="45"/>
      <c r="H7" s="45">
        <v>40</v>
      </c>
      <c r="I7" s="51"/>
      <c r="J7" s="45"/>
      <c r="K7" s="45"/>
      <c r="L7" s="45"/>
      <c r="M7" s="45"/>
      <c r="N7" s="51"/>
      <c r="O7" s="45"/>
      <c r="P7" s="45"/>
      <c r="Q7" s="45"/>
      <c r="R7" s="45"/>
      <c r="S7" s="51"/>
      <c r="T7" s="45"/>
      <c r="U7" s="45"/>
      <c r="V7" s="45"/>
      <c r="W7" s="45"/>
      <c r="X7" s="45"/>
      <c r="Y7" s="51"/>
      <c r="Z7" s="51">
        <v>50</v>
      </c>
      <c r="AA7" s="9"/>
      <c r="AB7" s="9"/>
      <c r="AC7" s="9" t="s">
        <v>198</v>
      </c>
      <c r="AD7" s="9"/>
      <c r="AE7" s="77"/>
      <c r="AF7" s="77"/>
      <c r="AG7" s="77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ht="15.75" customHeight="1" x14ac:dyDescent="0.25">
      <c r="A8" s="102"/>
      <c r="B8" s="9" t="s">
        <v>14</v>
      </c>
      <c r="C8" s="9" t="s">
        <v>117</v>
      </c>
      <c r="D8" s="45"/>
      <c r="E8" s="45"/>
      <c r="F8" s="51">
        <v>11600000</v>
      </c>
      <c r="G8" s="45"/>
      <c r="H8" s="45">
        <v>14000000</v>
      </c>
      <c r="I8" s="51"/>
      <c r="J8" s="45"/>
      <c r="K8" s="45">
        <v>60000000</v>
      </c>
      <c r="L8" s="45"/>
      <c r="M8" s="45">
        <v>633000</v>
      </c>
      <c r="N8" s="51">
        <v>3700000</v>
      </c>
      <c r="O8" s="45">
        <v>7750000</v>
      </c>
      <c r="P8" s="45"/>
      <c r="Q8" s="45"/>
      <c r="R8" s="45"/>
      <c r="S8" s="51">
        <v>19000000</v>
      </c>
      <c r="T8" s="45"/>
      <c r="U8" s="45">
        <v>3400000</v>
      </c>
      <c r="V8" s="45"/>
      <c r="W8" s="45"/>
      <c r="X8" s="45"/>
      <c r="Y8" s="51">
        <v>86000000</v>
      </c>
      <c r="Z8" s="51"/>
      <c r="AA8" s="9" t="s">
        <v>198</v>
      </c>
      <c r="AB8" s="77">
        <v>2800000</v>
      </c>
      <c r="AC8" s="9"/>
      <c r="AD8" s="9" t="s">
        <v>198</v>
      </c>
      <c r="AE8" s="77" t="s">
        <v>198</v>
      </c>
      <c r="AF8" s="77" t="s">
        <v>198</v>
      </c>
      <c r="AG8" s="77" t="s">
        <v>198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ht="15.75" customHeight="1" x14ac:dyDescent="0.25">
      <c r="A9" s="106" t="s">
        <v>118</v>
      </c>
      <c r="B9" s="9" t="s">
        <v>16</v>
      </c>
      <c r="C9" s="9" t="s">
        <v>117</v>
      </c>
      <c r="D9" s="51">
        <v>199.8</v>
      </c>
      <c r="E9" s="51">
        <v>892</v>
      </c>
      <c r="F9" s="51">
        <v>204.88</v>
      </c>
      <c r="G9" s="51"/>
      <c r="H9" s="51">
        <v>487</v>
      </c>
      <c r="I9" s="51">
        <v>53</v>
      </c>
      <c r="J9" s="51">
        <v>2907</v>
      </c>
      <c r="K9" s="51">
        <v>3067</v>
      </c>
      <c r="L9" s="51">
        <v>9761</v>
      </c>
      <c r="M9" s="51">
        <v>99</v>
      </c>
      <c r="N9" s="51">
        <v>5641</v>
      </c>
      <c r="O9" s="51">
        <v>1310</v>
      </c>
      <c r="P9" s="51"/>
      <c r="Q9" s="51">
        <v>104.7</v>
      </c>
      <c r="R9" s="51">
        <v>126</v>
      </c>
      <c r="S9" s="51">
        <v>828</v>
      </c>
      <c r="T9" s="51">
        <v>550</v>
      </c>
      <c r="U9" s="51">
        <v>615.1</v>
      </c>
      <c r="V9" s="51">
        <v>2922</v>
      </c>
      <c r="W9" s="51">
        <v>695</v>
      </c>
      <c r="X9" s="51">
        <v>352</v>
      </c>
      <c r="Y9" s="51"/>
      <c r="Z9" s="51">
        <v>748</v>
      </c>
      <c r="AA9" s="74">
        <v>38</v>
      </c>
      <c r="AB9" s="74"/>
      <c r="AC9" s="74">
        <v>271</v>
      </c>
      <c r="AD9" s="74">
        <v>267.5</v>
      </c>
      <c r="AE9" s="73">
        <v>3404.2</v>
      </c>
      <c r="AF9" s="73">
        <v>3811.3</v>
      </c>
      <c r="AG9" s="73">
        <v>2962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ht="15.75" customHeight="1" x14ac:dyDescent="0.25">
      <c r="A10" s="102"/>
      <c r="B10" s="9" t="s">
        <v>18</v>
      </c>
      <c r="C10" s="9" t="s">
        <v>117</v>
      </c>
      <c r="D10" s="51">
        <v>794</v>
      </c>
      <c r="E10" s="51">
        <v>950</v>
      </c>
      <c r="F10" s="51">
        <v>410</v>
      </c>
      <c r="G10" s="51">
        <v>3000</v>
      </c>
      <c r="H10" s="45">
        <v>866</v>
      </c>
      <c r="I10" s="45"/>
      <c r="J10" s="51">
        <v>5128</v>
      </c>
      <c r="K10" s="51">
        <v>13576</v>
      </c>
      <c r="L10" s="51">
        <v>14000</v>
      </c>
      <c r="M10" s="45"/>
      <c r="N10" s="51">
        <v>6200</v>
      </c>
      <c r="O10" s="51">
        <v>3827</v>
      </c>
      <c r="P10" s="51">
        <v>5952</v>
      </c>
      <c r="Q10" s="45"/>
      <c r="R10" s="51"/>
      <c r="S10" s="45"/>
      <c r="T10" s="51">
        <v>1490</v>
      </c>
      <c r="U10" s="45"/>
      <c r="V10" s="51"/>
      <c r="W10" s="51">
        <v>1149</v>
      </c>
      <c r="X10" s="45"/>
      <c r="Y10" s="45"/>
      <c r="Z10" s="51">
        <v>3701</v>
      </c>
      <c r="AA10" s="9" t="s">
        <v>198</v>
      </c>
      <c r="AB10" s="74"/>
      <c r="AC10" s="74">
        <v>1120</v>
      </c>
      <c r="AD10" s="74">
        <v>1154.5</v>
      </c>
      <c r="AE10" s="73"/>
      <c r="AF10" s="73">
        <v>10000</v>
      </c>
      <c r="AG10" s="73">
        <v>5432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ht="15.75" customHeight="1" x14ac:dyDescent="0.25">
      <c r="A11" s="102"/>
      <c r="B11" s="9" t="s">
        <v>20</v>
      </c>
      <c r="C11" s="9" t="s">
        <v>117</v>
      </c>
      <c r="D11" s="45"/>
      <c r="E11" s="45"/>
      <c r="F11" s="45"/>
      <c r="G11" s="45"/>
      <c r="H11" s="51">
        <v>866</v>
      </c>
      <c r="I11" s="45"/>
      <c r="J11" s="45">
        <v>1374</v>
      </c>
      <c r="K11" s="45"/>
      <c r="L11" s="45"/>
      <c r="M11" s="45"/>
      <c r="N11" s="45"/>
      <c r="O11" s="51">
        <v>2517</v>
      </c>
      <c r="P11" s="45"/>
      <c r="Q11" s="45"/>
      <c r="R11" s="45"/>
      <c r="S11" s="45"/>
      <c r="T11" s="51">
        <v>848</v>
      </c>
      <c r="U11" s="45"/>
      <c r="V11" s="51">
        <v>3100</v>
      </c>
      <c r="W11" s="51">
        <v>454</v>
      </c>
      <c r="X11" s="45"/>
      <c r="Y11" s="45"/>
      <c r="Z11" s="51">
        <v>2953</v>
      </c>
      <c r="AA11" s="74">
        <v>60</v>
      </c>
      <c r="AB11" s="74"/>
      <c r="AC11" s="74"/>
      <c r="AD11" s="74">
        <v>894</v>
      </c>
      <c r="AE11" s="73">
        <v>1973</v>
      </c>
      <c r="AF11" s="73">
        <v>6200</v>
      </c>
      <c r="AG11" s="73"/>
      <c r="AH11" s="9">
        <f>COUNT(D11:AG11)</f>
        <v>11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ht="15.75" customHeight="1" x14ac:dyDescent="0.25">
      <c r="A12" s="102"/>
      <c r="B12" s="9" t="s">
        <v>22</v>
      </c>
      <c r="C12" s="9" t="s">
        <v>117</v>
      </c>
      <c r="D12" s="51">
        <v>62.3</v>
      </c>
      <c r="E12" s="51">
        <v>74.599999999999994</v>
      </c>
      <c r="F12" s="45"/>
      <c r="G12" s="51">
        <v>36.53</v>
      </c>
      <c r="H12" s="45"/>
      <c r="I12" s="51">
        <f>13+0.712</f>
        <v>13.712</v>
      </c>
      <c r="J12" s="51">
        <v>909</v>
      </c>
      <c r="K12" s="45"/>
      <c r="L12" s="45"/>
      <c r="M12" s="51"/>
      <c r="N12" s="45">
        <v>60.8</v>
      </c>
      <c r="O12" s="51"/>
      <c r="P12" s="51"/>
      <c r="Q12" s="51"/>
      <c r="R12" s="45"/>
      <c r="S12" s="45"/>
      <c r="T12" s="51"/>
      <c r="U12" s="45"/>
      <c r="V12" s="51">
        <f>2193+98</f>
        <v>2291</v>
      </c>
      <c r="W12" s="51">
        <v>498.5</v>
      </c>
      <c r="X12" s="51"/>
      <c r="Y12" s="45"/>
      <c r="Z12" s="51">
        <v>214</v>
      </c>
      <c r="AA12" s="9" t="s">
        <v>198</v>
      </c>
      <c r="AB12" s="74">
        <v>460</v>
      </c>
      <c r="AC12" s="74"/>
      <c r="AD12" s="74">
        <v>102.5</v>
      </c>
      <c r="AE12" s="73">
        <v>2011.27</v>
      </c>
      <c r="AF12" s="73">
        <v>3336</v>
      </c>
      <c r="AG12" s="73">
        <v>1282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ht="15.75" customHeight="1" x14ac:dyDescent="0.25">
      <c r="A13" s="102"/>
      <c r="B13" s="9" t="s">
        <v>24</v>
      </c>
      <c r="C13" s="9" t="s">
        <v>117</v>
      </c>
      <c r="D13" s="51">
        <v>417</v>
      </c>
      <c r="E13" s="51">
        <v>475</v>
      </c>
      <c r="F13" s="45"/>
      <c r="G13" s="45"/>
      <c r="H13" s="45">
        <v>520</v>
      </c>
      <c r="I13" s="51"/>
      <c r="J13" s="51">
        <v>2283</v>
      </c>
      <c r="K13" s="45"/>
      <c r="L13" s="45"/>
      <c r="M13" s="45"/>
      <c r="N13" s="45"/>
      <c r="O13" s="51"/>
      <c r="P13" s="51"/>
      <c r="Q13" s="45"/>
      <c r="R13" s="51"/>
      <c r="S13" s="51"/>
      <c r="T13" s="51"/>
      <c r="U13" s="45"/>
      <c r="V13" s="51">
        <f>4344+303+245</f>
        <v>4892</v>
      </c>
      <c r="W13" s="51">
        <v>952.5</v>
      </c>
      <c r="X13" s="45"/>
      <c r="Y13" s="45"/>
      <c r="Z13" s="51">
        <v>2697</v>
      </c>
      <c r="AA13" s="9" t="s">
        <v>198</v>
      </c>
      <c r="AB13" s="74"/>
      <c r="AC13" s="74"/>
      <c r="AD13" s="74">
        <v>728.5</v>
      </c>
      <c r="AE13" s="73"/>
      <c r="AF13" s="73">
        <v>9000</v>
      </c>
      <c r="AG13" s="73">
        <v>2640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ht="15.75" customHeight="1" x14ac:dyDescent="0.25">
      <c r="A14" s="102"/>
      <c r="B14" s="9" t="s">
        <v>26</v>
      </c>
      <c r="C14" s="9" t="s">
        <v>117</v>
      </c>
      <c r="D14" s="51"/>
      <c r="E14" s="51">
        <v>1500</v>
      </c>
      <c r="F14" s="51"/>
      <c r="G14" s="51">
        <v>150</v>
      </c>
      <c r="H14" s="51">
        <v>520</v>
      </c>
      <c r="I14" s="45"/>
      <c r="J14" s="51">
        <v>399</v>
      </c>
      <c r="K14" s="51">
        <v>4000</v>
      </c>
      <c r="L14" s="45">
        <v>1175</v>
      </c>
      <c r="M14" s="51">
        <v>150</v>
      </c>
      <c r="N14" s="51">
        <v>850</v>
      </c>
      <c r="O14" s="51">
        <v>1086</v>
      </c>
      <c r="P14" s="51">
        <v>807</v>
      </c>
      <c r="Q14" s="51"/>
      <c r="R14" s="51">
        <v>172</v>
      </c>
      <c r="S14" s="51">
        <v>560</v>
      </c>
      <c r="T14" s="51"/>
      <c r="U14" s="45"/>
      <c r="V14" s="51">
        <v>303</v>
      </c>
      <c r="W14" s="51">
        <v>466.5</v>
      </c>
      <c r="X14" s="51"/>
      <c r="Y14" s="45"/>
      <c r="Z14" s="51"/>
      <c r="AA14" s="78" t="s">
        <v>199</v>
      </c>
      <c r="AB14" s="74"/>
      <c r="AC14" s="74">
        <v>392</v>
      </c>
      <c r="AD14" s="74">
        <v>569</v>
      </c>
      <c r="AE14" s="73">
        <v>463</v>
      </c>
      <c r="AF14" s="73">
        <v>3000</v>
      </c>
      <c r="AG14" s="73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ht="15.75" customHeight="1" x14ac:dyDescent="0.25">
      <c r="A15" s="102"/>
      <c r="B15" s="9" t="s">
        <v>28</v>
      </c>
      <c r="C15" s="9" t="s">
        <v>117</v>
      </c>
      <c r="D15" s="45"/>
      <c r="E15" s="51">
        <v>100</v>
      </c>
      <c r="F15" s="45"/>
      <c r="G15" s="45"/>
      <c r="H15" s="45"/>
      <c r="I15" s="45"/>
      <c r="J15" s="45"/>
      <c r="K15" s="45"/>
      <c r="L15" s="45">
        <v>1102</v>
      </c>
      <c r="M15" s="45"/>
      <c r="N15" s="51">
        <v>200</v>
      </c>
      <c r="O15" s="45"/>
      <c r="P15" s="51">
        <v>966</v>
      </c>
      <c r="Q15" s="51">
        <v>60</v>
      </c>
      <c r="R15" s="45"/>
      <c r="S15" s="45"/>
      <c r="T15" s="51"/>
      <c r="U15" s="45"/>
      <c r="V15" s="51">
        <v>245</v>
      </c>
      <c r="W15" s="51">
        <v>99</v>
      </c>
      <c r="X15" s="51">
        <v>250</v>
      </c>
      <c r="Y15" s="45"/>
      <c r="Z15" s="45"/>
      <c r="AA15" s="9" t="s">
        <v>198</v>
      </c>
      <c r="AB15" s="74"/>
      <c r="AC15" s="9" t="s">
        <v>198</v>
      </c>
      <c r="AD15" s="9" t="s">
        <v>198</v>
      </c>
      <c r="AE15" s="73">
        <v>500</v>
      </c>
      <c r="AF15" s="73">
        <v>1192</v>
      </c>
      <c r="AG15" s="77" t="s">
        <v>198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ht="15.75" customHeight="1" x14ac:dyDescent="0.25">
      <c r="A16" s="102"/>
      <c r="B16" s="9" t="s">
        <v>30</v>
      </c>
      <c r="C16" s="9" t="s">
        <v>117</v>
      </c>
      <c r="D16" s="45"/>
      <c r="E16" s="45"/>
      <c r="F16" s="51"/>
      <c r="G16" s="45"/>
      <c r="H16" s="45"/>
      <c r="I16" s="45"/>
      <c r="J16" s="51">
        <v>829</v>
      </c>
      <c r="K16" s="45"/>
      <c r="L16" s="45">
        <v>1800</v>
      </c>
      <c r="M16" s="45"/>
      <c r="N16" s="51">
        <v>150</v>
      </c>
      <c r="O16" s="51">
        <v>791</v>
      </c>
      <c r="P16" s="51">
        <v>1403</v>
      </c>
      <c r="Q16" s="51"/>
      <c r="R16" s="51">
        <v>150</v>
      </c>
      <c r="S16" s="45"/>
      <c r="T16" s="51"/>
      <c r="U16" s="45"/>
      <c r="V16" s="51">
        <v>4344</v>
      </c>
      <c r="W16" s="51">
        <v>347</v>
      </c>
      <c r="X16" s="51">
        <v>128</v>
      </c>
      <c r="Y16" s="45"/>
      <c r="Z16" s="51"/>
      <c r="AA16" s="74">
        <v>9</v>
      </c>
      <c r="AB16" s="9" t="s">
        <v>198</v>
      </c>
      <c r="AC16" s="74">
        <v>194</v>
      </c>
      <c r="AD16" s="74">
        <v>57</v>
      </c>
      <c r="AE16" s="73">
        <v>880</v>
      </c>
      <c r="AF16" s="77" t="s">
        <v>198</v>
      </c>
      <c r="AG16" s="73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ht="15.75" customHeight="1" x14ac:dyDescent="0.25">
      <c r="A17" s="102"/>
      <c r="B17" s="9" t="s">
        <v>32</v>
      </c>
      <c r="C17" s="9" t="s">
        <v>117</v>
      </c>
      <c r="D17" s="51"/>
      <c r="E17" s="45"/>
      <c r="F17" s="45"/>
      <c r="G17" s="45"/>
      <c r="H17" s="45"/>
      <c r="I17" s="45"/>
      <c r="J17" s="45"/>
      <c r="K17" s="45"/>
      <c r="L17" s="45"/>
      <c r="M17" s="45">
        <v>80</v>
      </c>
      <c r="N17" s="45"/>
      <c r="O17" s="45"/>
      <c r="P17" s="45"/>
      <c r="Q17" s="45"/>
      <c r="R17" s="45"/>
      <c r="S17" s="45"/>
      <c r="T17" s="45"/>
      <c r="U17" s="51">
        <v>225</v>
      </c>
      <c r="V17" s="51">
        <v>1004</v>
      </c>
      <c r="W17" s="45"/>
      <c r="X17" s="51">
        <v>240</v>
      </c>
      <c r="Y17" s="45"/>
      <c r="Z17" s="45">
        <v>470</v>
      </c>
      <c r="AA17" s="9">
        <v>10</v>
      </c>
      <c r="AB17" s="74">
        <v>2200</v>
      </c>
      <c r="AC17" s="9" t="s">
        <v>198</v>
      </c>
      <c r="AD17" s="9">
        <v>250</v>
      </c>
      <c r="AE17" s="73"/>
      <c r="AF17" s="77" t="s">
        <v>198</v>
      </c>
      <c r="AG17" s="77" t="s">
        <v>198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ht="15.75" customHeight="1" x14ac:dyDescent="0.25">
      <c r="A18" s="102"/>
      <c r="B18" s="9" t="s">
        <v>34</v>
      </c>
      <c r="C18" s="9" t="s">
        <v>117</v>
      </c>
      <c r="D18" s="45"/>
      <c r="E18" s="45"/>
      <c r="F18" s="45"/>
      <c r="G18" s="45"/>
      <c r="H18" s="45"/>
      <c r="I18" s="51"/>
      <c r="J18" s="45"/>
      <c r="K18" s="45"/>
      <c r="L18" s="45"/>
      <c r="M18" s="51">
        <v>40</v>
      </c>
      <c r="N18" s="45"/>
      <c r="O18" s="45"/>
      <c r="P18" s="51">
        <v>400</v>
      </c>
      <c r="Q18" s="51">
        <v>600</v>
      </c>
      <c r="R18" s="51">
        <v>5</v>
      </c>
      <c r="S18" s="45"/>
      <c r="T18" s="45"/>
      <c r="U18" s="45">
        <v>30</v>
      </c>
      <c r="V18" s="45"/>
      <c r="W18" s="51">
        <v>96</v>
      </c>
      <c r="X18" s="51">
        <v>20</v>
      </c>
      <c r="Y18" s="45"/>
      <c r="Z18" s="45"/>
      <c r="AA18" s="9" t="s">
        <v>198</v>
      </c>
      <c r="AB18" s="9" t="s">
        <v>198</v>
      </c>
      <c r="AC18" s="9" t="s">
        <v>198</v>
      </c>
      <c r="AD18" s="9">
        <v>156</v>
      </c>
      <c r="AE18" s="77" t="s">
        <v>198</v>
      </c>
      <c r="AF18" s="77" t="s">
        <v>198</v>
      </c>
      <c r="AG18" s="73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ht="15.75" customHeight="1" x14ac:dyDescent="0.25">
      <c r="A19" s="106" t="s">
        <v>119</v>
      </c>
      <c r="B19" s="9" t="s">
        <v>36</v>
      </c>
      <c r="C19" s="9" t="s">
        <v>117</v>
      </c>
      <c r="D19" s="45"/>
      <c r="E19" s="51">
        <v>678</v>
      </c>
      <c r="F19" s="45"/>
      <c r="G19" s="45"/>
      <c r="H19" s="45"/>
      <c r="I19" s="51">
        <v>26.2</v>
      </c>
      <c r="J19" s="45"/>
      <c r="K19" s="45"/>
      <c r="L19" s="45"/>
      <c r="M19" s="45"/>
      <c r="N19" s="45"/>
      <c r="O19" s="45"/>
      <c r="P19" s="45"/>
      <c r="Q19" s="51">
        <v>209</v>
      </c>
      <c r="R19" s="51">
        <v>108</v>
      </c>
      <c r="S19" s="45"/>
      <c r="T19" s="45"/>
      <c r="U19" s="45"/>
      <c r="V19" s="45"/>
      <c r="W19" s="51">
        <v>673</v>
      </c>
      <c r="X19" s="45"/>
      <c r="Y19" s="45"/>
      <c r="Z19" s="45"/>
      <c r="AA19" s="9" t="s">
        <v>198</v>
      </c>
      <c r="AB19" s="74"/>
      <c r="AC19" s="74"/>
      <c r="AD19" s="74"/>
      <c r="AE19" s="73">
        <v>1888.72</v>
      </c>
      <c r="AF19" s="73">
        <v>2500</v>
      </c>
      <c r="AG19" s="73">
        <v>2000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ht="15.75" customHeight="1" x14ac:dyDescent="0.25">
      <c r="A20" s="102"/>
      <c r="B20" s="9" t="s">
        <v>38</v>
      </c>
      <c r="C20" s="9" t="s">
        <v>117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51"/>
      <c r="P20" s="45"/>
      <c r="Q20" s="45"/>
      <c r="R20" s="45"/>
      <c r="S20" s="45"/>
      <c r="T20" s="51">
        <v>774</v>
      </c>
      <c r="U20" s="45"/>
      <c r="V20" s="45"/>
      <c r="W20" s="45"/>
      <c r="X20" s="45"/>
      <c r="Y20" s="45"/>
      <c r="Z20" s="45"/>
      <c r="AA20" s="9" t="s">
        <v>198</v>
      </c>
      <c r="AB20" s="74"/>
      <c r="AC20" s="74"/>
      <c r="AD20" s="74"/>
      <c r="AE20" s="73"/>
      <c r="AF20" s="77" t="s">
        <v>198</v>
      </c>
      <c r="AG20" s="73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ht="15.75" customHeight="1" x14ac:dyDescent="0.25">
      <c r="A21" s="106" t="s">
        <v>120</v>
      </c>
      <c r="B21" s="9" t="s">
        <v>40</v>
      </c>
      <c r="C21" s="9" t="s">
        <v>117</v>
      </c>
      <c r="D21" s="45">
        <v>1449.1</v>
      </c>
      <c r="E21" s="51">
        <v>4000</v>
      </c>
      <c r="F21" s="51">
        <v>650</v>
      </c>
      <c r="G21" s="51"/>
      <c r="H21" s="51">
        <v>996</v>
      </c>
      <c r="I21" s="51"/>
      <c r="J21" s="51">
        <v>7553</v>
      </c>
      <c r="K21" s="45"/>
      <c r="L21" s="51">
        <v>20390</v>
      </c>
      <c r="M21" s="51"/>
      <c r="N21" s="51">
        <v>6472.2</v>
      </c>
      <c r="O21" s="51">
        <v>1600</v>
      </c>
      <c r="P21" s="51">
        <v>9484</v>
      </c>
      <c r="Q21" s="45"/>
      <c r="R21" s="51"/>
      <c r="S21" s="45"/>
      <c r="T21" s="51">
        <v>2650</v>
      </c>
      <c r="U21" s="51">
        <v>1950</v>
      </c>
      <c r="V21" s="51">
        <v>5679</v>
      </c>
      <c r="W21" s="45"/>
      <c r="X21" s="51">
        <v>1428.8</v>
      </c>
      <c r="Y21" s="51">
        <f>5530+6800</f>
        <v>12330</v>
      </c>
      <c r="Z21" s="51">
        <f>1256+500</f>
        <v>1756</v>
      </c>
      <c r="AA21" s="74">
        <v>275</v>
      </c>
      <c r="AB21" s="9" t="s">
        <v>198</v>
      </c>
      <c r="AC21" s="9">
        <v>802</v>
      </c>
      <c r="AD21" s="9">
        <v>1273</v>
      </c>
      <c r="AE21" s="73">
        <v>8025.75</v>
      </c>
      <c r="AF21" s="73">
        <v>12705</v>
      </c>
      <c r="AG21" s="77" t="s">
        <v>198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ht="15.75" customHeight="1" x14ac:dyDescent="0.25">
      <c r="A22" s="102"/>
      <c r="B22" s="9" t="s">
        <v>42</v>
      </c>
      <c r="C22" s="9" t="s">
        <v>117</v>
      </c>
      <c r="D22" s="45"/>
      <c r="E22" s="45"/>
      <c r="F22" s="51">
        <v>704</v>
      </c>
      <c r="G22" s="45"/>
      <c r="H22" s="51">
        <v>400.2</v>
      </c>
      <c r="I22" s="45"/>
      <c r="J22" s="45"/>
      <c r="K22" s="45"/>
      <c r="L22" s="51"/>
      <c r="M22" s="51">
        <v>200</v>
      </c>
      <c r="N22" s="45"/>
      <c r="O22" s="51">
        <v>352</v>
      </c>
      <c r="P22" s="51">
        <v>8000</v>
      </c>
      <c r="Q22" s="45"/>
      <c r="R22" s="45"/>
      <c r="S22" s="45"/>
      <c r="T22" s="45">
        <v>1940</v>
      </c>
      <c r="U22" s="45"/>
      <c r="V22" s="51"/>
      <c r="W22" s="45"/>
      <c r="X22" s="51"/>
      <c r="Y22" s="45"/>
      <c r="Z22" s="51"/>
      <c r="AA22" s="9" t="s">
        <v>198</v>
      </c>
      <c r="AB22" s="74"/>
      <c r="AC22" s="74">
        <v>1235</v>
      </c>
      <c r="AD22" s="74">
        <v>1447</v>
      </c>
      <c r="AE22" s="73"/>
      <c r="AF22" s="77" t="s">
        <v>198</v>
      </c>
      <c r="AG22" s="73">
        <v>1607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ht="15.75" customHeight="1" x14ac:dyDescent="0.25">
      <c r="A23" s="102"/>
      <c r="B23" s="9" t="s">
        <v>44</v>
      </c>
      <c r="C23" s="9" t="s">
        <v>117</v>
      </c>
      <c r="D23" s="45"/>
      <c r="E23" s="45"/>
      <c r="F23" s="51">
        <v>6578</v>
      </c>
      <c r="G23" s="45"/>
      <c r="H23" s="51">
        <v>195</v>
      </c>
      <c r="I23" s="51"/>
      <c r="J23" s="45"/>
      <c r="K23" s="45"/>
      <c r="L23" s="51"/>
      <c r="M23" s="45"/>
      <c r="N23" s="45"/>
      <c r="O23" s="45"/>
      <c r="P23" s="51">
        <v>212937</v>
      </c>
      <c r="Q23" s="51">
        <v>550</v>
      </c>
      <c r="R23" s="45"/>
      <c r="S23" s="45"/>
      <c r="T23" s="51">
        <v>22417</v>
      </c>
      <c r="U23" s="45"/>
      <c r="V23" s="45"/>
      <c r="W23" s="45"/>
      <c r="X23" s="51"/>
      <c r="Y23" s="45"/>
      <c r="Z23" s="51"/>
      <c r="AA23" s="9" t="s">
        <v>198</v>
      </c>
      <c r="AB23" s="74"/>
      <c r="AC23" s="74"/>
      <c r="AD23" s="74">
        <v>3761</v>
      </c>
      <c r="AE23" s="73"/>
      <c r="AF23" s="77" t="s">
        <v>198</v>
      </c>
      <c r="AG23" s="73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ht="15.75" customHeight="1" x14ac:dyDescent="0.25">
      <c r="A24" s="102"/>
      <c r="B24" s="9" t="s">
        <v>46</v>
      </c>
      <c r="C24" s="9" t="s">
        <v>117</v>
      </c>
      <c r="D24" s="51">
        <v>24.62</v>
      </c>
      <c r="E24" s="51">
        <v>14.35</v>
      </c>
      <c r="F24" s="45"/>
      <c r="G24" s="51"/>
      <c r="H24" s="51">
        <v>39</v>
      </c>
      <c r="I24" s="51">
        <v>37</v>
      </c>
      <c r="J24" s="45"/>
      <c r="K24" s="51">
        <v>46</v>
      </c>
      <c r="L24" s="51">
        <v>27</v>
      </c>
      <c r="M24" s="51">
        <v>21</v>
      </c>
      <c r="N24" s="51">
        <v>27</v>
      </c>
      <c r="O24" s="51">
        <v>30</v>
      </c>
      <c r="P24" s="51">
        <f>4.5+11.19</f>
        <v>15.69</v>
      </c>
      <c r="Q24" s="45"/>
      <c r="R24" s="51">
        <v>45.4</v>
      </c>
      <c r="S24" s="51"/>
      <c r="T24" s="51"/>
      <c r="U24" s="51">
        <v>30</v>
      </c>
      <c r="V24" s="51">
        <v>24</v>
      </c>
      <c r="W24" s="45"/>
      <c r="X24" s="51"/>
      <c r="Y24" s="51">
        <v>42</v>
      </c>
      <c r="Z24" s="51">
        <v>45</v>
      </c>
      <c r="AA24" s="9">
        <v>34</v>
      </c>
      <c r="AB24" s="74"/>
      <c r="AC24" s="74">
        <v>50</v>
      </c>
      <c r="AD24" s="74">
        <v>16</v>
      </c>
      <c r="AE24" s="73">
        <v>14.2</v>
      </c>
      <c r="AF24" s="77" t="s">
        <v>198</v>
      </c>
      <c r="AG24" s="73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ht="15.75" customHeight="1" x14ac:dyDescent="0.25">
      <c r="A25" s="102"/>
      <c r="B25" s="9" t="s">
        <v>48</v>
      </c>
      <c r="C25" s="9" t="s">
        <v>117</v>
      </c>
      <c r="D25" s="51">
        <v>15</v>
      </c>
      <c r="E25" s="45"/>
      <c r="F25" s="45"/>
      <c r="G25" s="45"/>
      <c r="H25" s="51">
        <v>15</v>
      </c>
      <c r="I25" s="51">
        <v>20</v>
      </c>
      <c r="J25" s="45"/>
      <c r="K25" s="51">
        <v>15</v>
      </c>
      <c r="L25" s="51">
        <v>19</v>
      </c>
      <c r="M25" s="51">
        <v>18</v>
      </c>
      <c r="N25" s="51">
        <v>23</v>
      </c>
      <c r="O25" s="51">
        <v>8</v>
      </c>
      <c r="P25" s="51">
        <f>3.5+9.3</f>
        <v>12.8</v>
      </c>
      <c r="Q25" s="45"/>
      <c r="R25" s="45"/>
      <c r="S25" s="51">
        <v>16</v>
      </c>
      <c r="T25" s="51"/>
      <c r="U25" s="45"/>
      <c r="V25" s="45"/>
      <c r="W25" s="45"/>
      <c r="X25" s="45"/>
      <c r="Y25" s="45"/>
      <c r="Z25" s="51"/>
      <c r="AA25" s="9">
        <v>18</v>
      </c>
      <c r="AB25" s="74"/>
      <c r="AC25" s="74"/>
      <c r="AD25" s="74">
        <v>12</v>
      </c>
      <c r="AE25" s="73"/>
      <c r="AF25" s="77" t="s">
        <v>198</v>
      </c>
      <c r="AG25" s="73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ht="15.75" customHeight="1" x14ac:dyDescent="0.25">
      <c r="A26" s="106" t="s">
        <v>123</v>
      </c>
      <c r="B26" s="9" t="s">
        <v>124</v>
      </c>
      <c r="C26" s="9" t="s">
        <v>117</v>
      </c>
      <c r="D26" s="51">
        <v>928</v>
      </c>
      <c r="E26" s="51">
        <v>220000</v>
      </c>
      <c r="F26" s="51">
        <v>1900000</v>
      </c>
      <c r="G26" s="45"/>
      <c r="H26" s="45"/>
      <c r="I26" s="51">
        <v>62310</v>
      </c>
      <c r="J26" s="51"/>
      <c r="K26" s="45"/>
      <c r="L26" s="45"/>
      <c r="M26" s="51"/>
      <c r="N26" s="45"/>
      <c r="O26" s="45"/>
      <c r="P26" s="51">
        <v>5100000</v>
      </c>
      <c r="Q26" s="51">
        <v>26400</v>
      </c>
      <c r="R26" s="51"/>
      <c r="S26" s="51"/>
      <c r="T26" s="51">
        <v>1150000</v>
      </c>
      <c r="U26" s="45"/>
      <c r="V26" s="51">
        <v>4900000</v>
      </c>
      <c r="W26" s="9"/>
      <c r="X26" s="51">
        <v>2077515</v>
      </c>
      <c r="Y26" s="51">
        <v>4700000</v>
      </c>
      <c r="Z26" s="51">
        <v>953000</v>
      </c>
      <c r="AA26" s="9" t="s">
        <v>198</v>
      </c>
      <c r="AB26" s="73">
        <v>260149</v>
      </c>
      <c r="AC26" s="73"/>
      <c r="AD26" s="73">
        <v>1300000</v>
      </c>
      <c r="AE26" s="73"/>
      <c r="AF26" s="73">
        <v>1459560</v>
      </c>
      <c r="AG26" s="73">
        <v>1200000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ht="15.75" customHeight="1" x14ac:dyDescent="0.25">
      <c r="A27" s="102"/>
      <c r="B27" s="9" t="s">
        <v>125</v>
      </c>
      <c r="C27" s="9" t="s">
        <v>117</v>
      </c>
      <c r="D27" s="45"/>
      <c r="E27" s="51"/>
      <c r="F27" s="51"/>
      <c r="G27" s="45"/>
      <c r="H27" s="45"/>
      <c r="I27" s="45"/>
      <c r="J27" s="45"/>
      <c r="K27" s="45"/>
      <c r="L27" s="45"/>
      <c r="M27" s="45"/>
      <c r="N27" s="45">
        <v>660000</v>
      </c>
      <c r="O27" s="45"/>
      <c r="P27" s="45"/>
      <c r="Q27" s="51"/>
      <c r="R27" s="45"/>
      <c r="S27" s="45"/>
      <c r="T27" s="51"/>
      <c r="U27" s="45"/>
      <c r="V27" s="51"/>
      <c r="W27" s="51">
        <v>175000</v>
      </c>
      <c r="X27" s="51"/>
      <c r="Y27" s="45"/>
      <c r="Z27" s="51"/>
      <c r="AA27" s="9"/>
      <c r="AB27" s="74"/>
      <c r="AC27" s="74">
        <v>160000</v>
      </c>
      <c r="AD27" s="74"/>
      <c r="AE27" s="73">
        <v>8300000</v>
      </c>
      <c r="AF27" s="73"/>
      <c r="AG27" s="73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ht="15.75" customHeight="1" x14ac:dyDescent="0.25">
      <c r="A28" s="102"/>
      <c r="B28" s="9" t="s">
        <v>126</v>
      </c>
      <c r="C28" s="9" t="s">
        <v>117</v>
      </c>
      <c r="D28" s="45"/>
      <c r="E28" s="51">
        <v>61000</v>
      </c>
      <c r="F28" s="51">
        <v>410000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51">
        <v>18900</v>
      </c>
      <c r="R28" s="45"/>
      <c r="S28" s="45"/>
      <c r="T28" s="51">
        <v>1550000</v>
      </c>
      <c r="U28" s="45"/>
      <c r="V28" s="51"/>
      <c r="W28" s="9"/>
      <c r="X28" s="9"/>
      <c r="Y28" s="45"/>
      <c r="Z28" s="51"/>
      <c r="AA28" s="9" t="s">
        <v>198</v>
      </c>
      <c r="AB28" s="74"/>
      <c r="AC28" s="74"/>
      <c r="AD28" s="73">
        <v>133000</v>
      </c>
      <c r="AE28" s="73"/>
      <c r="AF28" s="73">
        <v>1768311</v>
      </c>
      <c r="AG28" s="73">
        <v>1500000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ht="15.75" customHeight="1" x14ac:dyDescent="0.25">
      <c r="A29" s="102"/>
      <c r="B29" s="9" t="s">
        <v>127</v>
      </c>
      <c r="C29" s="9" t="s">
        <v>117</v>
      </c>
      <c r="D29" s="45"/>
      <c r="E29" s="51"/>
      <c r="F29" s="51"/>
      <c r="G29" s="51"/>
      <c r="H29" s="45"/>
      <c r="I29" s="51"/>
      <c r="J29" s="45"/>
      <c r="K29" s="45"/>
      <c r="L29" s="45"/>
      <c r="M29" s="45"/>
      <c r="N29" s="51"/>
      <c r="O29" s="51"/>
      <c r="P29" s="45"/>
      <c r="Q29" s="45"/>
      <c r="R29" s="45"/>
      <c r="S29" s="45"/>
      <c r="T29" s="45"/>
      <c r="U29" s="51"/>
      <c r="V29" s="45"/>
      <c r="W29" s="51"/>
      <c r="X29" s="51">
        <v>115301</v>
      </c>
      <c r="Y29" s="45"/>
      <c r="Z29" s="51"/>
      <c r="AA29" s="9"/>
      <c r="AB29" s="74"/>
      <c r="AC29" s="74"/>
      <c r="AD29" s="74"/>
      <c r="AE29" s="73"/>
      <c r="AF29" s="77"/>
      <c r="AG29" s="73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ht="15.75" customHeight="1" x14ac:dyDescent="0.25">
      <c r="A30" s="102"/>
      <c r="B30" s="9" t="s">
        <v>128</v>
      </c>
      <c r="C30" s="9" t="s">
        <v>117</v>
      </c>
      <c r="D30" s="45"/>
      <c r="E30" s="51"/>
      <c r="F30" s="51"/>
      <c r="G30" s="51"/>
      <c r="H30" s="45"/>
      <c r="I30" s="51"/>
      <c r="J30" s="45"/>
      <c r="K30" s="45"/>
      <c r="L30" s="45"/>
      <c r="M30" s="45"/>
      <c r="N30" s="51"/>
      <c r="O30" s="51"/>
      <c r="P30" s="45"/>
      <c r="Q30" s="45"/>
      <c r="R30" s="45"/>
      <c r="S30" s="45"/>
      <c r="T30" s="45"/>
      <c r="U30" s="51"/>
      <c r="V30" s="45"/>
      <c r="W30" s="51"/>
      <c r="X30" s="51">
        <v>690392</v>
      </c>
      <c r="Y30" s="45"/>
      <c r="Z30" s="51"/>
      <c r="AA30" s="9"/>
      <c r="AB30" s="74"/>
      <c r="AC30" s="74"/>
      <c r="AD30" s="74"/>
      <c r="AE30" s="73"/>
      <c r="AF30" s="77"/>
      <c r="AG30" s="73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ht="15.75" customHeight="1" x14ac:dyDescent="0.25">
      <c r="A31" s="102"/>
      <c r="B31" s="9" t="s">
        <v>129</v>
      </c>
      <c r="C31" s="9" t="s">
        <v>117</v>
      </c>
      <c r="D31" s="45"/>
      <c r="E31" s="51"/>
      <c r="F31" s="51"/>
      <c r="G31" s="51"/>
      <c r="H31" s="45"/>
      <c r="I31" s="51"/>
      <c r="J31" s="45"/>
      <c r="K31" s="45"/>
      <c r="L31" s="45"/>
      <c r="M31" s="45"/>
      <c r="N31" s="51"/>
      <c r="O31" s="51"/>
      <c r="P31" s="45"/>
      <c r="Q31" s="45"/>
      <c r="R31" s="45"/>
      <c r="S31" s="45"/>
      <c r="T31" s="45"/>
      <c r="U31" s="51"/>
      <c r="V31" s="45"/>
      <c r="W31" s="51">
        <v>35000</v>
      </c>
      <c r="X31" s="51"/>
      <c r="Y31" s="45"/>
      <c r="Z31" s="51"/>
      <c r="AA31" s="9">
        <v>800</v>
      </c>
      <c r="AB31" s="74"/>
      <c r="AC31" s="74">
        <v>560000</v>
      </c>
      <c r="AD31" s="74"/>
      <c r="AE31" s="73"/>
      <c r="AF31" s="77"/>
      <c r="AG31" s="73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ht="15.75" customHeight="1" x14ac:dyDescent="0.25">
      <c r="A32" s="102"/>
      <c r="B32" s="9" t="s">
        <v>130</v>
      </c>
      <c r="C32" s="9" t="s">
        <v>117</v>
      </c>
      <c r="D32" s="45"/>
      <c r="E32" s="51">
        <v>6</v>
      </c>
      <c r="F32" s="51">
        <v>300</v>
      </c>
      <c r="G32" s="51"/>
      <c r="H32" s="45"/>
      <c r="I32" s="51"/>
      <c r="J32" s="45"/>
      <c r="K32" s="45"/>
      <c r="L32" s="45"/>
      <c r="M32" s="45"/>
      <c r="N32" s="51">
        <v>400</v>
      </c>
      <c r="O32" s="51">
        <v>714</v>
      </c>
      <c r="P32" s="45"/>
      <c r="Q32" s="45"/>
      <c r="R32" s="45"/>
      <c r="S32" s="45"/>
      <c r="T32" s="45"/>
      <c r="U32" s="51">
        <v>120</v>
      </c>
      <c r="V32" s="45"/>
      <c r="W32" s="45"/>
      <c r="X32" s="51">
        <v>115301</v>
      </c>
      <c r="Y32" s="45"/>
      <c r="Z32" s="51"/>
      <c r="AA32" s="9" t="s">
        <v>198</v>
      </c>
      <c r="AB32" s="74">
        <v>150</v>
      </c>
      <c r="AC32" s="74"/>
      <c r="AD32" s="74"/>
      <c r="AE32" s="73"/>
      <c r="AF32" s="77" t="s">
        <v>198</v>
      </c>
      <c r="AG32" s="73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ht="13.2" x14ac:dyDescent="0.25">
      <c r="A33" s="102"/>
      <c r="B33" s="9" t="s">
        <v>131</v>
      </c>
      <c r="C33" s="9" t="s">
        <v>117</v>
      </c>
      <c r="D33" s="45"/>
      <c r="E33" s="45"/>
      <c r="F33" s="51">
        <v>300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51"/>
      <c r="AA33" s="9" t="s">
        <v>198</v>
      </c>
      <c r="AB33" s="74">
        <v>50</v>
      </c>
      <c r="AC33" s="74"/>
      <c r="AD33" s="74"/>
      <c r="AE33" s="73"/>
      <c r="AF33" s="77" t="s">
        <v>198</v>
      </c>
      <c r="AG33" s="73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ht="13.2" x14ac:dyDescent="0.25">
      <c r="A34" s="102"/>
      <c r="B34" s="9" t="s">
        <v>132</v>
      </c>
      <c r="C34" s="9" t="s">
        <v>117</v>
      </c>
      <c r="D34" s="45"/>
      <c r="E34" s="45"/>
      <c r="F34" s="51">
        <v>850000</v>
      </c>
      <c r="G34" s="45"/>
      <c r="H34" s="45">
        <v>30000</v>
      </c>
      <c r="I34" s="45"/>
      <c r="J34" s="45"/>
      <c r="K34" s="45"/>
      <c r="L34" s="45"/>
      <c r="M34" s="45"/>
      <c r="N34" s="51">
        <v>1000000</v>
      </c>
      <c r="O34" s="45"/>
      <c r="P34" s="45"/>
      <c r="Q34" s="45"/>
      <c r="R34" s="51">
        <v>49441</v>
      </c>
      <c r="S34" s="45"/>
      <c r="T34" s="45">
        <v>244000</v>
      </c>
      <c r="U34" s="45"/>
      <c r="V34" s="45">
        <v>175235</v>
      </c>
      <c r="W34" s="45"/>
      <c r="X34" s="51">
        <v>690392</v>
      </c>
      <c r="Y34" s="45"/>
      <c r="Z34" s="51"/>
      <c r="AA34" s="9" t="s">
        <v>198</v>
      </c>
      <c r="AB34" s="73">
        <v>300000</v>
      </c>
      <c r="AC34" s="73">
        <v>400000</v>
      </c>
      <c r="AD34" s="73">
        <v>133000</v>
      </c>
      <c r="AE34" s="73"/>
      <c r="AF34" s="77"/>
      <c r="AG34" s="73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ht="13.2" x14ac:dyDescent="0.25">
      <c r="A35" s="106" t="s">
        <v>133</v>
      </c>
      <c r="B35" s="9" t="s">
        <v>50</v>
      </c>
      <c r="C35" s="9" t="s">
        <v>117</v>
      </c>
      <c r="D35" s="51">
        <v>2360000000</v>
      </c>
      <c r="E35" s="45">
        <v>2520000000</v>
      </c>
      <c r="F35" s="51">
        <v>3490000000</v>
      </c>
      <c r="G35" s="51">
        <v>12554000000</v>
      </c>
      <c r="H35" s="51">
        <v>1950000000</v>
      </c>
      <c r="I35" s="51">
        <v>390210000</v>
      </c>
      <c r="J35" s="51">
        <v>8460000000</v>
      </c>
      <c r="K35" s="51">
        <v>37048660000</v>
      </c>
      <c r="L35" s="51">
        <v>9646040</v>
      </c>
      <c r="M35" s="51">
        <v>552000000</v>
      </c>
      <c r="N35" s="51">
        <v>4404000000</v>
      </c>
      <c r="O35" s="51">
        <v>8900000000</v>
      </c>
      <c r="P35" s="51">
        <v>19115000000</v>
      </c>
      <c r="Q35" s="51">
        <v>1970000000</v>
      </c>
      <c r="R35" s="51">
        <v>1500000000</v>
      </c>
      <c r="S35" s="51">
        <v>7200000000</v>
      </c>
      <c r="T35" s="51">
        <v>5500000000</v>
      </c>
      <c r="U35" s="51">
        <v>3067300000</v>
      </c>
      <c r="V35" s="51">
        <v>18620000000</v>
      </c>
      <c r="W35" s="51">
        <v>1764000000</v>
      </c>
      <c r="X35" s="51"/>
      <c r="Y35" s="51">
        <v>32700000000</v>
      </c>
      <c r="Z35" s="51">
        <v>11543000000</v>
      </c>
      <c r="AA35" s="73">
        <v>297000000</v>
      </c>
      <c r="AB35" s="73">
        <v>6300000000</v>
      </c>
      <c r="AC35" s="73">
        <v>2245000000</v>
      </c>
      <c r="AD35" s="73">
        <v>3000000000</v>
      </c>
      <c r="AE35" s="73">
        <v>12889999999</v>
      </c>
      <c r="AF35" s="73">
        <v>11880000</v>
      </c>
      <c r="AG35" s="73">
        <v>9134890000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ht="13.2" x14ac:dyDescent="0.25">
      <c r="A36" s="102"/>
      <c r="B36" s="9" t="s">
        <v>52</v>
      </c>
      <c r="C36" s="9" t="s">
        <v>117</v>
      </c>
      <c r="D36" s="51">
        <v>1420000000</v>
      </c>
      <c r="E36" s="51">
        <v>1414000000</v>
      </c>
      <c r="F36" s="51">
        <v>1950000000</v>
      </c>
      <c r="G36" s="51">
        <v>1588000000</v>
      </c>
      <c r="H36" s="51">
        <v>1299744000</v>
      </c>
      <c r="I36" s="51">
        <v>117000000</v>
      </c>
      <c r="J36" s="51">
        <v>4620000000</v>
      </c>
      <c r="K36" s="51">
        <v>17314100000</v>
      </c>
      <c r="L36" s="51">
        <v>6584240</v>
      </c>
      <c r="M36" s="51">
        <v>305000000</v>
      </c>
      <c r="N36" s="51">
        <v>1793000</v>
      </c>
      <c r="O36" s="51">
        <v>1200000000</v>
      </c>
      <c r="P36" s="51">
        <v>14002000000</v>
      </c>
      <c r="Q36" s="51">
        <v>499700000</v>
      </c>
      <c r="R36" s="51">
        <v>1150000000</v>
      </c>
      <c r="S36" s="45"/>
      <c r="T36" s="45"/>
      <c r="U36" s="51">
        <v>1220260000</v>
      </c>
      <c r="V36" s="51">
        <v>9923000000</v>
      </c>
      <c r="W36" s="51">
        <v>1353000000</v>
      </c>
      <c r="X36" s="45"/>
      <c r="Y36" s="51">
        <v>17200000000</v>
      </c>
      <c r="Z36" s="51">
        <v>3276000000</v>
      </c>
      <c r="AA36" s="73">
        <v>108000000</v>
      </c>
      <c r="AB36" s="73">
        <v>3926000000</v>
      </c>
      <c r="AC36" s="73">
        <v>835000000</v>
      </c>
      <c r="AD36" s="73">
        <v>1320000000</v>
      </c>
      <c r="AE36" s="73">
        <v>8850000000</v>
      </c>
      <c r="AF36" s="77" t="s">
        <v>198</v>
      </c>
      <c r="AG36" s="73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ht="13.2" x14ac:dyDescent="0.25">
      <c r="A37" s="102"/>
      <c r="B37" s="9" t="s">
        <v>54</v>
      </c>
      <c r="C37" s="9" t="s">
        <v>117</v>
      </c>
      <c r="D37" s="51">
        <v>940000000</v>
      </c>
      <c r="E37" s="45">
        <v>1106000000</v>
      </c>
      <c r="F37" s="51">
        <v>1540000000</v>
      </c>
      <c r="G37" s="51">
        <v>6372000000</v>
      </c>
      <c r="H37" s="51">
        <v>650256000</v>
      </c>
      <c r="I37" s="51">
        <v>273000000</v>
      </c>
      <c r="J37" s="51">
        <v>1940000000</v>
      </c>
      <c r="K37" s="51">
        <v>19734550000</v>
      </c>
      <c r="L37" s="51">
        <v>3061800</v>
      </c>
      <c r="M37" s="51">
        <v>247000000</v>
      </c>
      <c r="N37" s="51">
        <v>2611000</v>
      </c>
      <c r="O37" s="51">
        <v>7641000000</v>
      </c>
      <c r="P37" s="51">
        <v>5113000000</v>
      </c>
      <c r="Q37" s="51">
        <v>1470000000</v>
      </c>
      <c r="R37" s="51">
        <v>140000000</v>
      </c>
      <c r="S37" s="45"/>
      <c r="T37" s="51">
        <v>162800000</v>
      </c>
      <c r="U37" s="51">
        <v>1225800000</v>
      </c>
      <c r="V37" s="51">
        <v>8698000000</v>
      </c>
      <c r="W37" s="51">
        <v>411000000</v>
      </c>
      <c r="X37" s="51">
        <v>527000000</v>
      </c>
      <c r="Y37" s="51">
        <v>15500000000</v>
      </c>
      <c r="Z37" s="51">
        <v>8267000000</v>
      </c>
      <c r="AA37" s="73">
        <v>190000000</v>
      </c>
      <c r="AB37" s="73">
        <v>2300000000</v>
      </c>
      <c r="AC37" s="73">
        <v>1410000000</v>
      </c>
      <c r="AD37" s="73">
        <v>1680000000</v>
      </c>
      <c r="AE37" s="73">
        <v>4039000000</v>
      </c>
      <c r="AF37" s="73">
        <v>9500000000</v>
      </c>
      <c r="AG37" s="73">
        <v>4420000000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ht="13.2" x14ac:dyDescent="0.25">
      <c r="A38" s="102"/>
      <c r="B38" s="9" t="s">
        <v>134</v>
      </c>
      <c r="C38" s="9" t="s">
        <v>117</v>
      </c>
      <c r="D38" s="45"/>
      <c r="E38" s="45"/>
      <c r="F38" s="45"/>
      <c r="G38" s="45"/>
      <c r="H38" s="45"/>
      <c r="I38" s="51"/>
      <c r="J38" s="45"/>
      <c r="K38" s="45"/>
      <c r="L38" s="45"/>
      <c r="M38" s="45"/>
      <c r="N38" s="45">
        <v>260000000</v>
      </c>
      <c r="O38" s="45"/>
      <c r="P38" s="45"/>
      <c r="Q38" s="51">
        <v>52900000</v>
      </c>
      <c r="R38" s="51">
        <v>200000000</v>
      </c>
      <c r="S38" s="45"/>
      <c r="T38" s="45"/>
      <c r="U38" s="45"/>
      <c r="V38" s="45"/>
      <c r="W38" s="45"/>
      <c r="X38" s="51"/>
      <c r="Y38" s="51"/>
      <c r="Z38" s="45"/>
      <c r="AA38" s="9" t="s">
        <v>198</v>
      </c>
      <c r="AB38" s="9" t="s">
        <v>198</v>
      </c>
      <c r="AC38" s="9" t="s">
        <v>198</v>
      </c>
      <c r="AD38" s="9" t="s">
        <v>198</v>
      </c>
      <c r="AE38" s="9" t="s">
        <v>198</v>
      </c>
      <c r="AF38" s="9" t="s">
        <v>198</v>
      </c>
      <c r="AG38" s="9" t="s">
        <v>198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ht="13.2" x14ac:dyDescent="0.25">
      <c r="A39" s="102"/>
      <c r="B39" s="9" t="s">
        <v>135</v>
      </c>
      <c r="C39" s="9" t="s">
        <v>117</v>
      </c>
      <c r="D39" s="45"/>
      <c r="E39" s="45"/>
      <c r="F39" s="51"/>
      <c r="G39" s="45"/>
      <c r="H39" s="45"/>
      <c r="I39" s="45"/>
      <c r="J39" s="45"/>
      <c r="K39" s="45"/>
      <c r="L39" s="45"/>
      <c r="M39" s="45"/>
      <c r="N39" s="45">
        <v>85000000</v>
      </c>
      <c r="O39" s="45"/>
      <c r="P39" s="45"/>
      <c r="Q39" s="51">
        <v>10600000</v>
      </c>
      <c r="R39" s="45"/>
      <c r="S39" s="45"/>
      <c r="T39" s="45"/>
      <c r="U39" s="45"/>
      <c r="V39" s="45"/>
      <c r="W39" s="45"/>
      <c r="X39" s="45"/>
      <c r="Y39" s="51"/>
      <c r="Z39" s="45"/>
      <c r="AA39" s="9" t="s">
        <v>198</v>
      </c>
      <c r="AB39" s="9" t="s">
        <v>198</v>
      </c>
      <c r="AC39" s="9" t="s">
        <v>198</v>
      </c>
      <c r="AD39" s="9" t="s">
        <v>198</v>
      </c>
      <c r="AE39" s="9" t="s">
        <v>198</v>
      </c>
      <c r="AF39" s="9" t="s">
        <v>198</v>
      </c>
      <c r="AG39" s="9" t="s">
        <v>198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ht="13.2" x14ac:dyDescent="0.25">
      <c r="A40" s="102"/>
      <c r="B40" s="9" t="s">
        <v>136</v>
      </c>
      <c r="C40" s="9" t="s">
        <v>117</v>
      </c>
      <c r="D40" s="45"/>
      <c r="E40" s="45"/>
      <c r="F40" s="51"/>
      <c r="G40" s="45"/>
      <c r="H40" s="45"/>
      <c r="I40" s="51">
        <v>101400000</v>
      </c>
      <c r="J40" s="45"/>
      <c r="K40" s="45"/>
      <c r="L40" s="45"/>
      <c r="M40" s="45"/>
      <c r="N40" s="45"/>
      <c r="O40" s="45"/>
      <c r="P40" s="45"/>
      <c r="Q40" s="51"/>
      <c r="R40" s="45"/>
      <c r="S40" s="45"/>
      <c r="T40" s="45">
        <v>530800000</v>
      </c>
      <c r="U40" s="45">
        <v>621240000</v>
      </c>
      <c r="V40" s="45"/>
      <c r="W40" s="45"/>
      <c r="X40" s="45"/>
      <c r="Y40" s="45"/>
      <c r="Z40" s="45"/>
      <c r="AA40" s="9" t="s">
        <v>198</v>
      </c>
      <c r="AB40" s="9" t="s">
        <v>198</v>
      </c>
      <c r="AC40" s="9" t="s">
        <v>198</v>
      </c>
      <c r="AD40" s="9"/>
      <c r="AE40" s="9" t="s">
        <v>198</v>
      </c>
      <c r="AF40" s="9" t="s">
        <v>198</v>
      </c>
      <c r="AG40" s="9" t="s">
        <v>198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ht="13.2" x14ac:dyDescent="0.25">
      <c r="A41" s="106" t="s">
        <v>137</v>
      </c>
      <c r="B41" s="9" t="s">
        <v>56</v>
      </c>
      <c r="C41" s="9" t="s">
        <v>117</v>
      </c>
      <c r="D41" s="45"/>
      <c r="E41" s="45"/>
      <c r="F41" s="45"/>
      <c r="G41" s="45"/>
      <c r="H41" s="51">
        <v>0.17499999999999999</v>
      </c>
      <c r="I41" s="51">
        <v>0.43</v>
      </c>
      <c r="J41" s="45"/>
      <c r="K41" s="51">
        <v>0.09</v>
      </c>
      <c r="L41" s="45"/>
      <c r="M41" s="51">
        <v>0.21</v>
      </c>
      <c r="N41" s="45"/>
      <c r="O41" s="51">
        <v>0.1</v>
      </c>
      <c r="P41" s="45"/>
      <c r="Q41" s="45"/>
      <c r="R41" s="51">
        <v>0.23</v>
      </c>
      <c r="S41" s="51"/>
      <c r="T41" s="51"/>
      <c r="U41" s="45"/>
      <c r="V41" s="45"/>
      <c r="W41" s="45"/>
      <c r="X41" s="51">
        <v>0.14000000000000001</v>
      </c>
      <c r="Y41" s="51">
        <v>0.09</v>
      </c>
      <c r="Z41" s="45">
        <v>0.09</v>
      </c>
      <c r="AA41" s="9" t="s">
        <v>198</v>
      </c>
      <c r="AB41" s="74"/>
      <c r="AC41" s="74">
        <v>0.21</v>
      </c>
      <c r="AD41" s="74"/>
      <c r="AE41" s="74">
        <v>8.8999999999999996E-2</v>
      </c>
      <c r="AF41" s="9" t="s">
        <v>198</v>
      </c>
      <c r="AG41" s="74">
        <v>0.1608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ht="13.2" x14ac:dyDescent="0.25">
      <c r="A42" s="102"/>
      <c r="B42" s="9" t="s">
        <v>58</v>
      </c>
      <c r="C42" s="9" t="s">
        <v>117</v>
      </c>
      <c r="D42" s="45"/>
      <c r="E42" s="45"/>
      <c r="F42" s="45"/>
      <c r="G42" s="45"/>
      <c r="H42" s="45"/>
      <c r="I42" s="51">
        <v>56.6</v>
      </c>
      <c r="J42" s="45"/>
      <c r="K42" s="45"/>
      <c r="L42" s="51">
        <v>60</v>
      </c>
      <c r="M42" s="45"/>
      <c r="N42" s="45"/>
      <c r="O42" s="51">
        <v>45</v>
      </c>
      <c r="P42" s="45"/>
      <c r="Q42" s="45"/>
      <c r="R42" s="45"/>
      <c r="S42" s="45"/>
      <c r="T42" s="51"/>
      <c r="U42" s="45"/>
      <c r="V42" s="51"/>
      <c r="W42" s="45"/>
      <c r="X42" s="45"/>
      <c r="Y42" s="45"/>
      <c r="Z42" s="45">
        <v>0.56000000000000005</v>
      </c>
      <c r="AA42" s="9" t="s">
        <v>198</v>
      </c>
      <c r="AB42" s="74">
        <v>0.72</v>
      </c>
      <c r="AC42" s="74"/>
      <c r="AD42" s="74"/>
      <c r="AE42" s="74"/>
      <c r="AF42" s="9" t="s">
        <v>198</v>
      </c>
      <c r="AG42" s="74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ht="13.2" x14ac:dyDescent="0.25">
      <c r="A43" s="102"/>
      <c r="B43" s="9" t="s">
        <v>60</v>
      </c>
      <c r="C43" s="9" t="s">
        <v>117</v>
      </c>
      <c r="D43" s="45"/>
      <c r="E43" s="45"/>
      <c r="F43" s="45"/>
      <c r="G43" s="51"/>
      <c r="H43" s="51"/>
      <c r="I43" s="51"/>
      <c r="J43" s="45"/>
      <c r="K43" s="51"/>
      <c r="L43" s="45"/>
      <c r="M43" s="45"/>
      <c r="N43" s="51"/>
      <c r="O43" s="45"/>
      <c r="P43" s="45"/>
      <c r="Q43" s="45"/>
      <c r="R43" s="45"/>
      <c r="S43" s="51"/>
      <c r="T43" s="45"/>
      <c r="U43" s="51"/>
      <c r="V43" s="45"/>
      <c r="W43" s="45"/>
      <c r="X43" s="45"/>
      <c r="Y43" s="45"/>
      <c r="Z43" s="45"/>
      <c r="AA43" s="9"/>
      <c r="AB43" s="74"/>
      <c r="AC43" s="74"/>
      <c r="AD43" s="74"/>
      <c r="AE43" s="74"/>
      <c r="AF43" s="9"/>
      <c r="AG43" s="74">
        <v>1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ht="13.2" x14ac:dyDescent="0.25">
      <c r="A44" s="102"/>
      <c r="B44" s="9" t="s">
        <v>62</v>
      </c>
      <c r="C44" s="9" t="s">
        <v>117</v>
      </c>
      <c r="D44" s="45"/>
      <c r="E44" s="45"/>
      <c r="F44" s="45"/>
      <c r="G44" s="51">
        <v>72</v>
      </c>
      <c r="H44" s="51">
        <v>51</v>
      </c>
      <c r="I44" s="51">
        <v>80</v>
      </c>
      <c r="J44" s="45"/>
      <c r="K44" s="51">
        <v>61</v>
      </c>
      <c r="L44" s="45"/>
      <c r="M44" s="45"/>
      <c r="N44" s="51">
        <v>86</v>
      </c>
      <c r="O44" s="45"/>
      <c r="P44" s="45"/>
      <c r="Q44" s="45"/>
      <c r="R44" s="45"/>
      <c r="S44" s="51">
        <v>80</v>
      </c>
      <c r="T44" s="45"/>
      <c r="U44" s="51"/>
      <c r="V44" s="45"/>
      <c r="W44" s="45"/>
      <c r="X44" s="45"/>
      <c r="Y44" s="45"/>
      <c r="Z44" s="45">
        <v>73</v>
      </c>
      <c r="AA44" s="9" t="s">
        <v>198</v>
      </c>
      <c r="AB44" s="74"/>
      <c r="AC44" s="74"/>
      <c r="AD44" s="74"/>
      <c r="AE44" s="74">
        <v>96</v>
      </c>
      <c r="AF44" s="9" t="s">
        <v>198</v>
      </c>
      <c r="AG44" s="74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ht="13.2" x14ac:dyDescent="0.25">
      <c r="A45" s="102"/>
      <c r="B45" s="9" t="s">
        <v>64</v>
      </c>
      <c r="C45" s="9" t="s">
        <v>117</v>
      </c>
      <c r="D45" s="51"/>
      <c r="E45" s="51"/>
      <c r="F45" s="51"/>
      <c r="G45" s="45">
        <v>90</v>
      </c>
      <c r="H45" s="51">
        <v>45</v>
      </c>
      <c r="I45" s="51">
        <v>90</v>
      </c>
      <c r="J45" s="51"/>
      <c r="K45" s="51"/>
      <c r="L45" s="51">
        <v>90</v>
      </c>
      <c r="M45" s="51"/>
      <c r="N45" s="51"/>
      <c r="O45" s="51"/>
      <c r="P45" s="51"/>
      <c r="Q45" s="51"/>
      <c r="R45" s="51"/>
      <c r="S45" s="51">
        <v>90</v>
      </c>
      <c r="T45" s="51"/>
      <c r="U45" s="51"/>
      <c r="V45" s="51"/>
      <c r="W45" s="51"/>
      <c r="X45" s="51"/>
      <c r="Y45" s="51"/>
      <c r="Z45" s="51">
        <v>95</v>
      </c>
      <c r="AA45" s="74"/>
      <c r="AB45" s="74">
        <v>100</v>
      </c>
      <c r="AC45" s="74"/>
      <c r="AD45" s="74"/>
      <c r="AE45" s="74"/>
      <c r="AF45" s="9"/>
      <c r="AG45" s="74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ht="13.2" x14ac:dyDescent="0.25">
      <c r="A46" s="106" t="s">
        <v>140</v>
      </c>
      <c r="B46" s="9" t="s">
        <v>66</v>
      </c>
      <c r="C46" s="9" t="s">
        <v>117</v>
      </c>
      <c r="D46" s="51">
        <v>16</v>
      </c>
      <c r="E46" s="51">
        <v>8.1999999999999993</v>
      </c>
      <c r="F46" s="51">
        <v>83</v>
      </c>
      <c r="G46" s="45"/>
      <c r="H46" s="51"/>
      <c r="I46" s="51">
        <v>9</v>
      </c>
      <c r="J46" s="51">
        <v>31</v>
      </c>
      <c r="K46" s="51">
        <v>95</v>
      </c>
      <c r="L46" s="51">
        <v>95</v>
      </c>
      <c r="M46" s="51">
        <v>13</v>
      </c>
      <c r="N46" s="51">
        <v>4</v>
      </c>
      <c r="O46" s="51">
        <v>62</v>
      </c>
      <c r="P46" s="51">
        <v>83</v>
      </c>
      <c r="Q46" s="51">
        <v>99.6</v>
      </c>
      <c r="R46" s="51">
        <v>67</v>
      </c>
      <c r="S46" s="51">
        <v>45</v>
      </c>
      <c r="T46" s="51">
        <v>90</v>
      </c>
      <c r="U46" s="51">
        <v>44.36</v>
      </c>
      <c r="V46" s="51">
        <v>78.400000000000006</v>
      </c>
      <c r="W46" s="51">
        <v>54</v>
      </c>
      <c r="X46" s="51">
        <v>5</v>
      </c>
      <c r="Y46" s="51">
        <v>22</v>
      </c>
      <c r="Z46" s="51">
        <v>29</v>
      </c>
      <c r="AA46" s="74">
        <v>5</v>
      </c>
      <c r="AB46" s="74">
        <v>29</v>
      </c>
      <c r="AC46" s="74">
        <v>46</v>
      </c>
      <c r="AD46" s="74">
        <v>26</v>
      </c>
      <c r="AE46" s="74">
        <v>61.8</v>
      </c>
      <c r="AF46" s="9">
        <v>86.2</v>
      </c>
      <c r="AG46" s="74">
        <v>43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ht="13.2" x14ac:dyDescent="0.25">
      <c r="A47" s="102"/>
      <c r="B47" s="9" t="s">
        <v>68</v>
      </c>
      <c r="C47" s="9" t="s">
        <v>117</v>
      </c>
      <c r="D47" s="51">
        <v>30</v>
      </c>
      <c r="E47" s="51">
        <v>50</v>
      </c>
      <c r="F47" s="51">
        <v>99</v>
      </c>
      <c r="G47" s="51">
        <v>10</v>
      </c>
      <c r="H47" s="51">
        <v>30</v>
      </c>
      <c r="I47" s="51">
        <v>45</v>
      </c>
      <c r="J47" s="51">
        <v>45</v>
      </c>
      <c r="K47" s="51">
        <v>95</v>
      </c>
      <c r="L47" s="51"/>
      <c r="M47" s="51">
        <v>30</v>
      </c>
      <c r="N47" s="51">
        <v>10</v>
      </c>
      <c r="O47" s="51">
        <v>70</v>
      </c>
      <c r="P47" s="51">
        <v>100</v>
      </c>
      <c r="Q47" s="51">
        <v>100</v>
      </c>
      <c r="R47" s="51">
        <v>75</v>
      </c>
      <c r="S47" s="51">
        <v>85</v>
      </c>
      <c r="T47" s="51">
        <v>96.1</v>
      </c>
      <c r="U47" s="51">
        <v>70</v>
      </c>
      <c r="V47" s="51">
        <v>80.599999999999994</v>
      </c>
      <c r="W47" s="51">
        <v>70</v>
      </c>
      <c r="X47" s="51">
        <v>30</v>
      </c>
      <c r="Y47" s="51">
        <v>50</v>
      </c>
      <c r="Z47" s="51">
        <v>72.8</v>
      </c>
      <c r="AA47" s="9">
        <v>50</v>
      </c>
      <c r="AB47" s="74">
        <v>40</v>
      </c>
      <c r="AC47" s="74">
        <v>52</v>
      </c>
      <c r="AD47" s="74">
        <v>63</v>
      </c>
      <c r="AE47" s="74">
        <v>75</v>
      </c>
      <c r="AF47" s="9" t="s">
        <v>198</v>
      </c>
      <c r="AG47" s="74">
        <v>48.6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ht="13.2" x14ac:dyDescent="0.25">
      <c r="A48" s="102"/>
      <c r="B48" s="9" t="s">
        <v>70</v>
      </c>
      <c r="C48" s="9" t="s">
        <v>117</v>
      </c>
      <c r="D48" s="45"/>
      <c r="E48" s="45"/>
      <c r="F48" s="51">
        <v>343720000000</v>
      </c>
      <c r="G48" s="45"/>
      <c r="H48" s="45"/>
      <c r="I48" s="45"/>
      <c r="J48" s="51">
        <v>6319428</v>
      </c>
      <c r="K48" s="45"/>
      <c r="L48" s="51"/>
      <c r="M48" s="45"/>
      <c r="N48" s="45"/>
      <c r="O48" s="45"/>
      <c r="P48" s="45"/>
      <c r="Q48" s="45"/>
      <c r="R48" s="45"/>
      <c r="S48" s="45"/>
      <c r="T48" s="51">
        <v>4090750</v>
      </c>
      <c r="U48" s="51">
        <v>1400000</v>
      </c>
      <c r="V48" s="45"/>
      <c r="W48" s="45"/>
      <c r="X48" s="45"/>
      <c r="Y48" s="45"/>
      <c r="Z48" s="45"/>
      <c r="AA48" s="9" t="s">
        <v>198</v>
      </c>
      <c r="AB48" s="9" t="s">
        <v>198</v>
      </c>
      <c r="AC48" s="9" t="s">
        <v>198</v>
      </c>
      <c r="AD48" s="9" t="s">
        <v>198</v>
      </c>
      <c r="AE48" s="9" t="s">
        <v>198</v>
      </c>
      <c r="AF48" s="9" t="s">
        <v>198</v>
      </c>
      <c r="AG48" s="9" t="s">
        <v>198</v>
      </c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ht="13.2" x14ac:dyDescent="0.25">
      <c r="A49" s="102"/>
      <c r="B49" s="9" t="s">
        <v>72</v>
      </c>
      <c r="C49" s="9" t="s">
        <v>117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9" t="s">
        <v>198</v>
      </c>
      <c r="AB49" s="74"/>
      <c r="AC49" s="74"/>
      <c r="AD49" s="74"/>
      <c r="AE49" s="74"/>
      <c r="AF49" s="9" t="s">
        <v>198</v>
      </c>
      <c r="AG49" s="74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ht="13.2" x14ac:dyDescent="0.25">
      <c r="A50" s="106" t="s">
        <v>141</v>
      </c>
      <c r="B50" s="9" t="s">
        <v>74</v>
      </c>
      <c r="C50" s="9" t="s">
        <v>117</v>
      </c>
      <c r="D50" s="51">
        <v>10.5</v>
      </c>
      <c r="E50" s="51">
        <v>66.599999999999994</v>
      </c>
      <c r="F50" s="45"/>
      <c r="G50" s="51">
        <v>23.4</v>
      </c>
      <c r="H50" s="45"/>
      <c r="I50" s="51">
        <v>0.5</v>
      </c>
      <c r="J50" s="51">
        <v>20</v>
      </c>
      <c r="K50" s="51">
        <v>5</v>
      </c>
      <c r="L50" s="51">
        <v>8</v>
      </c>
      <c r="M50" s="51">
        <v>25</v>
      </c>
      <c r="N50" s="51">
        <v>36.9</v>
      </c>
      <c r="O50" s="51">
        <v>12</v>
      </c>
      <c r="P50" s="51">
        <v>34.4</v>
      </c>
      <c r="Q50" s="51">
        <v>45.2</v>
      </c>
      <c r="R50" s="51">
        <v>0.8</v>
      </c>
      <c r="S50" s="51">
        <v>14</v>
      </c>
      <c r="T50" s="51">
        <v>24.5</v>
      </c>
      <c r="U50" s="51">
        <v>54</v>
      </c>
      <c r="V50" s="51">
        <v>17</v>
      </c>
      <c r="W50" s="51">
        <v>48.5</v>
      </c>
      <c r="X50" s="51">
        <v>6</v>
      </c>
      <c r="Y50" s="51">
        <v>26</v>
      </c>
      <c r="Z50" s="51">
        <v>39.6</v>
      </c>
      <c r="AA50" s="74">
        <v>62</v>
      </c>
      <c r="AB50" s="74"/>
      <c r="AC50" s="74">
        <v>1.5</v>
      </c>
      <c r="AD50" s="74">
        <v>14</v>
      </c>
      <c r="AE50" s="74">
        <v>6.9</v>
      </c>
      <c r="AF50" s="74">
        <v>8.9</v>
      </c>
      <c r="AG50" s="74">
        <v>38.6</v>
      </c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ht="13.2" x14ac:dyDescent="0.25">
      <c r="A51" s="102"/>
      <c r="B51" s="9" t="s">
        <v>142</v>
      </c>
      <c r="C51" s="9" t="s">
        <v>117</v>
      </c>
      <c r="D51" s="51"/>
      <c r="E51" s="51">
        <v>86.9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45"/>
      <c r="S51" s="51"/>
      <c r="T51" s="51"/>
      <c r="U51" s="45"/>
      <c r="V51" s="51"/>
      <c r="W51" s="51">
        <v>77.099999999999994</v>
      </c>
      <c r="X51" s="51"/>
      <c r="Y51" s="51"/>
      <c r="Z51" s="51">
        <v>54.5</v>
      </c>
      <c r="AA51" s="74"/>
      <c r="AB51" s="74"/>
      <c r="AC51" s="74"/>
      <c r="AD51" s="74"/>
      <c r="AE51" s="74"/>
      <c r="AF51" s="74"/>
      <c r="AG51" s="74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ht="13.2" x14ac:dyDescent="0.25">
      <c r="A52" s="102"/>
      <c r="B52" s="9" t="s">
        <v>143</v>
      </c>
      <c r="C52" s="9" t="s">
        <v>117</v>
      </c>
      <c r="D52" s="51"/>
      <c r="E52" s="51">
        <v>25.3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45"/>
      <c r="S52" s="51"/>
      <c r="T52" s="51"/>
      <c r="U52" s="45"/>
      <c r="V52" s="51"/>
      <c r="W52" s="51">
        <v>13.8</v>
      </c>
      <c r="X52" s="51"/>
      <c r="Y52" s="51"/>
      <c r="Z52" s="51">
        <v>4.7</v>
      </c>
      <c r="AA52" s="74"/>
      <c r="AB52" s="74"/>
      <c r="AC52" s="74"/>
      <c r="AD52" s="74"/>
      <c r="AE52" s="74"/>
      <c r="AF52" s="74"/>
      <c r="AG52" s="74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ht="13.2" x14ac:dyDescent="0.25">
      <c r="A53" s="102"/>
      <c r="B53" s="9" t="s">
        <v>144</v>
      </c>
      <c r="C53" s="9" t="s">
        <v>117</v>
      </c>
      <c r="D53" s="51"/>
      <c r="E53" s="51">
        <v>24.4</v>
      </c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>
        <v>1.3</v>
      </c>
      <c r="Q53" s="51"/>
      <c r="R53" s="45"/>
      <c r="S53" s="51"/>
      <c r="T53" s="51">
        <v>1.7</v>
      </c>
      <c r="U53" s="45"/>
      <c r="V53" s="51"/>
      <c r="W53" s="51"/>
      <c r="X53" s="51"/>
      <c r="Y53" s="51">
        <v>1</v>
      </c>
      <c r="Z53" s="51"/>
      <c r="AA53" s="74">
        <v>0.08</v>
      </c>
      <c r="AB53" s="74">
        <v>0.1</v>
      </c>
      <c r="AC53" s="74">
        <v>0</v>
      </c>
      <c r="AD53" s="74"/>
      <c r="AE53" s="74"/>
      <c r="AF53" s="74">
        <v>15.8</v>
      </c>
      <c r="AG53" s="74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ht="13.2" x14ac:dyDescent="0.25">
      <c r="A54" s="102"/>
      <c r="B54" s="9" t="s">
        <v>145</v>
      </c>
      <c r="C54" s="9" t="s">
        <v>117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>
        <v>0.3</v>
      </c>
      <c r="Q54" s="51"/>
      <c r="R54" s="45"/>
      <c r="S54" s="51"/>
      <c r="T54" s="51">
        <v>0</v>
      </c>
      <c r="U54" s="45"/>
      <c r="V54" s="51"/>
      <c r="W54" s="51"/>
      <c r="X54" s="51"/>
      <c r="Y54" s="51"/>
      <c r="Z54" s="51"/>
      <c r="AA54" s="74"/>
      <c r="AB54" s="74"/>
      <c r="AC54" s="74"/>
      <c r="AD54" s="74"/>
      <c r="AE54" s="74"/>
      <c r="AF54" s="74"/>
      <c r="AG54" s="74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ht="13.2" x14ac:dyDescent="0.25">
      <c r="A55" s="102"/>
      <c r="B55" s="9" t="s">
        <v>146</v>
      </c>
      <c r="C55" s="9" t="s">
        <v>117</v>
      </c>
      <c r="D55" s="51"/>
      <c r="E55" s="51">
        <v>42.7</v>
      </c>
      <c r="F55" s="51"/>
      <c r="G55" s="51"/>
      <c r="H55" s="51"/>
      <c r="I55" s="51"/>
      <c r="J55" s="51">
        <v>20</v>
      </c>
      <c r="K55" s="51"/>
      <c r="L55" s="51"/>
      <c r="M55" s="51"/>
      <c r="N55" s="51">
        <v>31</v>
      </c>
      <c r="O55" s="51"/>
      <c r="P55" s="51">
        <v>30.7</v>
      </c>
      <c r="Q55" s="51"/>
      <c r="R55" s="45"/>
      <c r="S55" s="51"/>
      <c r="T55" s="51">
        <v>0.3</v>
      </c>
      <c r="U55" s="45"/>
      <c r="V55" s="51">
        <v>14</v>
      </c>
      <c r="W55" s="51">
        <v>21.8</v>
      </c>
      <c r="X55" s="51">
        <v>4.5999999999999996</v>
      </c>
      <c r="Y55" s="51">
        <v>10.5</v>
      </c>
      <c r="Z55" s="51"/>
      <c r="AA55" s="74">
        <v>18.899999999999999</v>
      </c>
      <c r="AB55" s="74">
        <v>34</v>
      </c>
      <c r="AC55" s="74">
        <v>0.9</v>
      </c>
      <c r="AD55" s="74"/>
      <c r="AE55" s="74">
        <v>3.2</v>
      </c>
      <c r="AF55" s="74">
        <v>0.3</v>
      </c>
      <c r="AG55" s="74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ht="13.2" x14ac:dyDescent="0.25">
      <c r="A56" s="102"/>
      <c r="B56" s="9" t="s">
        <v>147</v>
      </c>
      <c r="C56" s="9" t="s">
        <v>117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>
        <v>1.8</v>
      </c>
      <c r="Q56" s="51"/>
      <c r="R56" s="45"/>
      <c r="S56" s="51"/>
      <c r="T56" s="51">
        <v>0</v>
      </c>
      <c r="U56" s="45"/>
      <c r="V56" s="51"/>
      <c r="W56" s="51"/>
      <c r="X56" s="51"/>
      <c r="Y56" s="51"/>
      <c r="Z56" s="51"/>
      <c r="AA56" s="74"/>
      <c r="AB56" s="74"/>
      <c r="AC56" s="74">
        <v>0</v>
      </c>
      <c r="AD56" s="74"/>
      <c r="AE56" s="74"/>
      <c r="AF56" s="74">
        <v>0.1</v>
      </c>
      <c r="AG56" s="74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ht="13.2" x14ac:dyDescent="0.25">
      <c r="A57" s="102"/>
      <c r="B57" s="9" t="s">
        <v>148</v>
      </c>
      <c r="C57" s="9" t="s">
        <v>117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45"/>
      <c r="S57" s="51"/>
      <c r="T57" s="51"/>
      <c r="U57" s="45"/>
      <c r="V57" s="51">
        <v>3.4</v>
      </c>
      <c r="W57" s="51"/>
      <c r="X57" s="51"/>
      <c r="Y57" s="51"/>
      <c r="Z57" s="51"/>
      <c r="AA57" s="74"/>
      <c r="AB57" s="74"/>
      <c r="AC57" s="74"/>
      <c r="AD57" s="74"/>
      <c r="AE57" s="74"/>
      <c r="AF57" s="74"/>
      <c r="AG57" s="74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ht="13.2" x14ac:dyDescent="0.25">
      <c r="A58" s="102"/>
      <c r="B58" s="9" t="s">
        <v>76</v>
      </c>
      <c r="C58" s="9" t="s">
        <v>117</v>
      </c>
      <c r="D58" s="51">
        <v>50</v>
      </c>
      <c r="E58" s="51">
        <v>90</v>
      </c>
      <c r="F58" s="51">
        <v>40</v>
      </c>
      <c r="G58" s="51">
        <v>40</v>
      </c>
      <c r="H58" s="51">
        <v>46</v>
      </c>
      <c r="I58" s="51">
        <v>30</v>
      </c>
      <c r="J58" s="51">
        <v>50</v>
      </c>
      <c r="K58" s="51">
        <v>30</v>
      </c>
      <c r="L58" s="51">
        <v>57.74</v>
      </c>
      <c r="M58" s="51">
        <v>50</v>
      </c>
      <c r="N58" s="51">
        <v>50</v>
      </c>
      <c r="O58" s="51">
        <v>35</v>
      </c>
      <c r="P58" s="51">
        <v>100</v>
      </c>
      <c r="Q58" s="51">
        <v>75</v>
      </c>
      <c r="R58" s="45"/>
      <c r="S58" s="51">
        <v>50</v>
      </c>
      <c r="T58" s="51">
        <v>75</v>
      </c>
      <c r="U58" s="45"/>
      <c r="V58" s="51">
        <v>54</v>
      </c>
      <c r="W58" s="51">
        <v>61</v>
      </c>
      <c r="X58" s="51">
        <v>12</v>
      </c>
      <c r="Y58" s="51">
        <v>100</v>
      </c>
      <c r="Z58" s="51">
        <v>81.3</v>
      </c>
      <c r="AA58" s="74">
        <v>75</v>
      </c>
      <c r="AB58" s="78"/>
      <c r="AC58" s="74">
        <v>25</v>
      </c>
      <c r="AD58" s="74">
        <v>80</v>
      </c>
      <c r="AE58" s="74">
        <v>75</v>
      </c>
      <c r="AF58" s="74">
        <v>40</v>
      </c>
      <c r="AG58" s="74">
        <v>70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ht="13.2" x14ac:dyDescent="0.25">
      <c r="A59" s="102"/>
      <c r="B59" s="9" t="s">
        <v>149</v>
      </c>
      <c r="C59" s="9" t="s">
        <v>117</v>
      </c>
      <c r="D59" s="45"/>
      <c r="E59" s="45"/>
      <c r="F59" s="45"/>
      <c r="G59" s="51"/>
      <c r="H59" s="45"/>
      <c r="I59" s="51"/>
      <c r="J59" s="45"/>
      <c r="K59" s="51"/>
      <c r="L59" s="51"/>
      <c r="M59" s="51"/>
      <c r="N59" s="45"/>
      <c r="O59" s="51"/>
      <c r="P59" s="51"/>
      <c r="Q59" s="51"/>
      <c r="R59" s="51"/>
      <c r="S59" s="51"/>
      <c r="T59" s="45"/>
      <c r="U59" s="51"/>
      <c r="V59" s="51"/>
      <c r="W59" s="51"/>
      <c r="X59" s="51"/>
      <c r="Y59" s="51"/>
      <c r="Z59" s="51"/>
      <c r="AA59" s="74"/>
      <c r="AB59" s="74"/>
      <c r="AC59" s="74"/>
      <c r="AD59" s="74"/>
      <c r="AE59" s="74"/>
      <c r="AF59" s="9"/>
      <c r="AG59" s="74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ht="13.2" x14ac:dyDescent="0.25">
      <c r="A60" s="102"/>
      <c r="B60" s="9" t="s">
        <v>150</v>
      </c>
      <c r="C60" s="9" t="s">
        <v>117</v>
      </c>
      <c r="D60" s="45"/>
      <c r="E60" s="45">
        <v>66</v>
      </c>
      <c r="F60" s="45"/>
      <c r="G60" s="51"/>
      <c r="H60" s="45"/>
      <c r="I60" s="51"/>
      <c r="J60" s="45"/>
      <c r="K60" s="51"/>
      <c r="L60" s="51"/>
      <c r="M60" s="51"/>
      <c r="N60" s="45">
        <v>36.9</v>
      </c>
      <c r="O60" s="51">
        <v>12</v>
      </c>
      <c r="P60" s="51">
        <v>34.4</v>
      </c>
      <c r="Q60" s="51">
        <v>45.2</v>
      </c>
      <c r="R60" s="51">
        <v>0.8</v>
      </c>
      <c r="S60" s="51">
        <v>14</v>
      </c>
      <c r="T60" s="45">
        <v>24.5</v>
      </c>
      <c r="U60" s="51">
        <v>54</v>
      </c>
      <c r="V60" s="51">
        <v>17</v>
      </c>
      <c r="W60" s="51">
        <v>48.5</v>
      </c>
      <c r="X60" s="51">
        <v>4.5999999999999996</v>
      </c>
      <c r="Y60" s="51">
        <v>26</v>
      </c>
      <c r="Z60" s="51">
        <v>39.6</v>
      </c>
      <c r="AA60" s="74">
        <v>62</v>
      </c>
      <c r="AB60" s="74"/>
      <c r="AC60" s="74"/>
      <c r="AD60" s="74"/>
      <c r="AE60" s="74">
        <v>6.9</v>
      </c>
      <c r="AF60" s="9"/>
      <c r="AG60" s="74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ht="13.2" x14ac:dyDescent="0.25">
      <c r="A61" s="102"/>
      <c r="B61" s="9" t="s">
        <v>151</v>
      </c>
      <c r="C61" s="9" t="s">
        <v>117</v>
      </c>
      <c r="D61" s="45"/>
      <c r="E61" s="45"/>
      <c r="F61" s="51">
        <v>6000000</v>
      </c>
      <c r="G61" s="51">
        <v>13400000</v>
      </c>
      <c r="H61" s="45"/>
      <c r="I61" s="45"/>
      <c r="J61" s="45"/>
      <c r="K61" s="51">
        <v>40000000</v>
      </c>
      <c r="L61" s="45"/>
      <c r="M61" s="45"/>
      <c r="N61" s="45">
        <v>3100000</v>
      </c>
      <c r="O61" s="51"/>
      <c r="P61" s="45">
        <v>4800000</v>
      </c>
      <c r="Q61" s="45"/>
      <c r="R61" s="51">
        <v>9545</v>
      </c>
      <c r="S61" s="51">
        <v>4100000</v>
      </c>
      <c r="T61" s="45"/>
      <c r="U61" s="45"/>
      <c r="V61" s="45"/>
      <c r="W61" s="45"/>
      <c r="X61" s="45"/>
      <c r="Y61" s="51"/>
      <c r="Z61" s="45"/>
      <c r="AA61" s="9" t="s">
        <v>198</v>
      </c>
      <c r="AB61" s="77">
        <v>15800000</v>
      </c>
      <c r="AC61" s="9" t="s">
        <v>198</v>
      </c>
      <c r="AD61" s="9" t="s">
        <v>198</v>
      </c>
      <c r="AE61" s="9" t="s">
        <v>198</v>
      </c>
      <c r="AF61" s="9" t="s">
        <v>198</v>
      </c>
      <c r="AG61" s="9" t="s">
        <v>198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ht="13.2" x14ac:dyDescent="0.25">
      <c r="A62" s="102"/>
      <c r="B62" s="9" t="s">
        <v>152</v>
      </c>
      <c r="C62" s="9" t="s">
        <v>117</v>
      </c>
      <c r="D62" s="51">
        <v>1285000</v>
      </c>
      <c r="E62" s="45"/>
      <c r="F62" s="51">
        <v>1200000</v>
      </c>
      <c r="G62" s="45"/>
      <c r="H62" s="51">
        <v>5500000</v>
      </c>
      <c r="I62" s="45"/>
      <c r="J62" s="51">
        <v>2400000</v>
      </c>
      <c r="K62" s="51">
        <v>5000000</v>
      </c>
      <c r="L62" s="45"/>
      <c r="M62" s="45"/>
      <c r="N62" s="45"/>
      <c r="O62" s="45"/>
      <c r="P62" s="51">
        <v>15000000</v>
      </c>
      <c r="Q62" s="45"/>
      <c r="R62" s="45"/>
      <c r="S62" s="51">
        <v>800000</v>
      </c>
      <c r="T62" s="45"/>
      <c r="U62" s="45"/>
      <c r="V62" s="51">
        <v>4500000</v>
      </c>
      <c r="W62" s="45"/>
      <c r="X62" s="45"/>
      <c r="Y62" s="51"/>
      <c r="Z62" s="45"/>
      <c r="AA62" s="9" t="s">
        <v>198</v>
      </c>
      <c r="AB62" s="74"/>
      <c r="AC62" s="74">
        <v>900000</v>
      </c>
      <c r="AD62" s="74"/>
      <c r="AE62" s="74"/>
      <c r="AF62" s="9" t="s">
        <v>198</v>
      </c>
      <c r="AG62" s="74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ht="13.2" x14ac:dyDescent="0.25">
      <c r="A63" s="106" t="s">
        <v>163</v>
      </c>
      <c r="B63" s="9" t="s">
        <v>78</v>
      </c>
      <c r="C63" s="9" t="s">
        <v>117</v>
      </c>
      <c r="D63" s="79" t="s">
        <v>200</v>
      </c>
      <c r="E63" s="79" t="s">
        <v>200</v>
      </c>
      <c r="F63" s="79" t="s">
        <v>200</v>
      </c>
      <c r="G63" s="79" t="s">
        <v>200</v>
      </c>
      <c r="H63" s="79" t="s">
        <v>200</v>
      </c>
      <c r="I63" s="79" t="s">
        <v>200</v>
      </c>
      <c r="J63" s="79" t="s">
        <v>200</v>
      </c>
      <c r="K63" s="45">
        <v>2025</v>
      </c>
      <c r="L63" s="79" t="s">
        <v>201</v>
      </c>
      <c r="M63" s="79" t="s">
        <v>201</v>
      </c>
      <c r="N63" s="79" t="s">
        <v>200</v>
      </c>
      <c r="O63" s="79" t="s">
        <v>200</v>
      </c>
      <c r="P63" s="79" t="s">
        <v>200</v>
      </c>
      <c r="Q63" s="79" t="s">
        <v>201</v>
      </c>
      <c r="R63" s="79" t="s">
        <v>201</v>
      </c>
      <c r="S63" s="79" t="s">
        <v>201</v>
      </c>
      <c r="T63" s="79" t="s">
        <v>201</v>
      </c>
      <c r="U63" s="79" t="s">
        <v>201</v>
      </c>
      <c r="V63" s="79" t="s">
        <v>201</v>
      </c>
      <c r="W63" s="79" t="s">
        <v>200</v>
      </c>
      <c r="X63" s="79" t="s">
        <v>201</v>
      </c>
      <c r="Y63" s="79" t="s">
        <v>201</v>
      </c>
      <c r="Z63" s="79" t="s">
        <v>200</v>
      </c>
      <c r="AA63" s="79" t="s">
        <v>201</v>
      </c>
      <c r="AB63" s="79" t="s">
        <v>201</v>
      </c>
      <c r="AC63" s="79" t="s">
        <v>200</v>
      </c>
      <c r="AD63" s="79" t="s">
        <v>200</v>
      </c>
      <c r="AE63" s="79" t="s">
        <v>201</v>
      </c>
      <c r="AF63" s="79" t="s">
        <v>200</v>
      </c>
      <c r="AG63" s="79" t="s">
        <v>200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ht="13.2" x14ac:dyDescent="0.25">
      <c r="A64" s="102"/>
      <c r="B64" s="9" t="s">
        <v>80</v>
      </c>
      <c r="C64" s="9" t="s">
        <v>117</v>
      </c>
      <c r="D64" s="79" t="s">
        <v>202</v>
      </c>
      <c r="E64" s="79" t="s">
        <v>202</v>
      </c>
      <c r="F64" s="79" t="s">
        <v>202</v>
      </c>
      <c r="G64" s="79" t="s">
        <v>202</v>
      </c>
      <c r="H64" s="79" t="s">
        <v>202</v>
      </c>
      <c r="I64" s="79" t="s">
        <v>202</v>
      </c>
      <c r="J64" s="79" t="s">
        <v>202</v>
      </c>
      <c r="K64" s="79" t="s">
        <v>202</v>
      </c>
      <c r="L64" s="79" t="s">
        <v>202</v>
      </c>
      <c r="M64" s="79" t="s">
        <v>202</v>
      </c>
      <c r="N64" s="79" t="s">
        <v>202</v>
      </c>
      <c r="O64" s="79" t="s">
        <v>202</v>
      </c>
      <c r="P64" s="79" t="s">
        <v>202</v>
      </c>
      <c r="Q64" s="79" t="s">
        <v>202</v>
      </c>
      <c r="R64" s="79" t="s">
        <v>202</v>
      </c>
      <c r="S64" s="79" t="s">
        <v>202</v>
      </c>
      <c r="T64" s="79" t="s">
        <v>202</v>
      </c>
      <c r="U64" s="79" t="s">
        <v>202</v>
      </c>
      <c r="V64" s="79" t="s">
        <v>202</v>
      </c>
      <c r="W64" s="79" t="s">
        <v>202</v>
      </c>
      <c r="X64" s="79" t="s">
        <v>202</v>
      </c>
      <c r="Y64" s="79" t="s">
        <v>202</v>
      </c>
      <c r="Z64" s="79" t="s">
        <v>202</v>
      </c>
      <c r="AA64" s="79" t="s">
        <v>202</v>
      </c>
      <c r="AB64" s="79" t="s">
        <v>202</v>
      </c>
      <c r="AC64" s="79" t="s">
        <v>202</v>
      </c>
      <c r="AD64" s="79" t="s">
        <v>202</v>
      </c>
      <c r="AE64" s="79" t="s">
        <v>202</v>
      </c>
      <c r="AF64" s="79" t="s">
        <v>202</v>
      </c>
      <c r="AG64" s="79" t="s">
        <v>202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ht="13.2" x14ac:dyDescent="0.25">
      <c r="A65" s="102"/>
      <c r="B65" s="9" t="s">
        <v>82</v>
      </c>
      <c r="C65" s="9" t="s">
        <v>117</v>
      </c>
      <c r="D65" s="79" t="s">
        <v>202</v>
      </c>
      <c r="E65" s="79" t="s">
        <v>202</v>
      </c>
      <c r="F65" s="79" t="s">
        <v>202</v>
      </c>
      <c r="G65" s="79" t="s">
        <v>202</v>
      </c>
      <c r="H65" s="79" t="s">
        <v>202</v>
      </c>
      <c r="I65" s="79" t="s">
        <v>202</v>
      </c>
      <c r="J65" s="79" t="s">
        <v>202</v>
      </c>
      <c r="K65" s="80" t="s">
        <v>202</v>
      </c>
      <c r="L65" s="79" t="s">
        <v>202</v>
      </c>
      <c r="M65" s="79" t="s">
        <v>202</v>
      </c>
      <c r="N65" s="79" t="s">
        <v>202</v>
      </c>
      <c r="O65" s="79" t="s">
        <v>202</v>
      </c>
      <c r="P65" s="79" t="s">
        <v>202</v>
      </c>
      <c r="Q65" s="79" t="s">
        <v>202</v>
      </c>
      <c r="R65" s="79" t="s">
        <v>202</v>
      </c>
      <c r="S65" s="79" t="s">
        <v>202</v>
      </c>
      <c r="T65" s="79" t="s">
        <v>202</v>
      </c>
      <c r="U65" s="79" t="s">
        <v>202</v>
      </c>
      <c r="V65" s="79" t="s">
        <v>202</v>
      </c>
      <c r="W65" s="79" t="s">
        <v>203</v>
      </c>
      <c r="X65" s="79" t="s">
        <v>202</v>
      </c>
      <c r="Y65" s="79" t="s">
        <v>202</v>
      </c>
      <c r="Z65" s="79" t="s">
        <v>202</v>
      </c>
      <c r="AA65" s="79" t="s">
        <v>202</v>
      </c>
      <c r="AB65" s="79" t="s">
        <v>204</v>
      </c>
      <c r="AC65" s="79" t="s">
        <v>202</v>
      </c>
      <c r="AD65" s="79" t="s">
        <v>202</v>
      </c>
      <c r="AE65" s="79" t="s">
        <v>202</v>
      </c>
      <c r="AF65" s="79" t="s">
        <v>202</v>
      </c>
      <c r="AG65" s="79" t="s">
        <v>202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ht="13.2" x14ac:dyDescent="0.25">
      <c r="A66" s="106" t="s">
        <v>164</v>
      </c>
      <c r="B66" s="9" t="s">
        <v>165</v>
      </c>
      <c r="C66" s="9" t="s">
        <v>166</v>
      </c>
      <c r="D66" s="77">
        <v>14.5</v>
      </c>
      <c r="E66" s="77">
        <v>2.5</v>
      </c>
      <c r="F66" s="77">
        <v>14</v>
      </c>
      <c r="G66" s="77">
        <v>29.1</v>
      </c>
      <c r="H66" s="77">
        <v>20.3</v>
      </c>
      <c r="I66" s="77">
        <v>0.9</v>
      </c>
      <c r="J66" s="77">
        <v>31.9</v>
      </c>
      <c r="K66" s="77">
        <v>109.3</v>
      </c>
      <c r="L66" s="77">
        <v>132.1</v>
      </c>
      <c r="M66" s="77">
        <v>2.8</v>
      </c>
      <c r="N66" s="77">
        <v>34.4</v>
      </c>
      <c r="O66" s="77">
        <v>14.8</v>
      </c>
      <c r="P66" s="77">
        <v>56.4</v>
      </c>
      <c r="Q66" s="77">
        <v>2.2999999999999998</v>
      </c>
      <c r="R66" s="77">
        <v>5.6</v>
      </c>
      <c r="S66" s="77">
        <v>32</v>
      </c>
      <c r="T66" s="77">
        <v>21.7</v>
      </c>
      <c r="U66" s="77">
        <v>5.2</v>
      </c>
      <c r="V66" s="77">
        <v>34.6</v>
      </c>
      <c r="W66" s="77">
        <v>3</v>
      </c>
      <c r="X66" s="77">
        <v>27</v>
      </c>
      <c r="Y66" s="77">
        <v>232.7</v>
      </c>
      <c r="Z66" s="77">
        <v>6.3</v>
      </c>
      <c r="AA66" s="9">
        <v>0.2</v>
      </c>
      <c r="AB66" s="9">
        <v>18.5</v>
      </c>
      <c r="AC66" s="9">
        <v>8.6</v>
      </c>
      <c r="AD66" s="9">
        <v>9.5</v>
      </c>
      <c r="AE66" s="9">
        <v>68.599999999999994</v>
      </c>
      <c r="AF66" s="9">
        <v>21.3</v>
      </c>
      <c r="AG66" s="9">
        <v>16.600000000000001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ht="13.2" x14ac:dyDescent="0.25">
      <c r="A67" s="102"/>
      <c r="B67" s="9" t="s">
        <v>167</v>
      </c>
      <c r="C67" s="9" t="s">
        <v>168</v>
      </c>
      <c r="D67" s="45">
        <f>16618822/1000000</f>
        <v>16.618822000000002</v>
      </c>
      <c r="E67" s="45">
        <f>2765917.5/1000000</f>
        <v>2.7659175</v>
      </c>
      <c r="F67" s="45">
        <f>16182016.5/1000000</f>
        <v>16.1820165</v>
      </c>
      <c r="G67" s="45">
        <f>33777189.5/1000000</f>
        <v>33.777189499999999</v>
      </c>
      <c r="H67" s="45">
        <f>24207479/1000000</f>
        <v>24.207478999999999</v>
      </c>
      <c r="I67" s="45">
        <f>964264.5/1000000</f>
        <v>0.96426449999999997</v>
      </c>
      <c r="J67" s="45">
        <f>36699009/1000000</f>
        <v>36.699008999999997</v>
      </c>
      <c r="K67" s="45">
        <f>131532201/1000000</f>
        <v>131.53220099999999</v>
      </c>
      <c r="L67" s="45">
        <f>152855357/1000000</f>
        <v>152.855357</v>
      </c>
      <c r="M67" s="45">
        <f>3130133.5/1000000</f>
        <v>3.1301334999999999</v>
      </c>
      <c r="N67" s="45">
        <f>38222089/1000000</f>
        <v>38.222088999999997</v>
      </c>
      <c r="O67" s="45">
        <f>16807147/1000000</f>
        <v>16.807147000000001</v>
      </c>
      <c r="P67" s="45">
        <f>63102245.5/1000000</f>
        <v>63.102245500000002</v>
      </c>
      <c r="Q67" s="45">
        <f>2493818.5/1000000</f>
        <v>2.4938185000000002</v>
      </c>
      <c r="R67" s="45">
        <f>6366291/1000000</f>
        <v>6.3662910000000004</v>
      </c>
      <c r="S67" s="45">
        <f>36693183/1000000</f>
        <v>36.693182999999998</v>
      </c>
      <c r="T67" s="45">
        <f>25160287.5/1000000</f>
        <v>25.160287499999999</v>
      </c>
      <c r="U67" s="45">
        <f>6062528/1000000</f>
        <v>6.0625280000000004</v>
      </c>
      <c r="V67" s="45">
        <f>40846754.5/1000000</f>
        <v>40.846754500000003</v>
      </c>
      <c r="W67" s="45">
        <f>3389958/1000000</f>
        <v>3.389958</v>
      </c>
      <c r="X67" s="45">
        <f>32518075/1000000</f>
        <v>32.518075000000003</v>
      </c>
      <c r="Y67" s="45">
        <f>262380969.5/1000000</f>
        <v>262.38096949999999</v>
      </c>
      <c r="Z67" s="45">
        <f>7282266.5/1000000</f>
        <v>7.2822665000000004</v>
      </c>
      <c r="AA67" s="45">
        <f>264564.5/1000000</f>
        <v>0.26456449999999998</v>
      </c>
      <c r="AB67" s="45">
        <f>21163191.5/1000000</f>
        <v>21.1631915</v>
      </c>
      <c r="AC67" s="45">
        <f>9694858/1000000</f>
        <v>9.694858</v>
      </c>
      <c r="AD67" s="45">
        <f>10792997/1000000</f>
        <v>10.792997</v>
      </c>
      <c r="AE67" s="45">
        <f>80913124/1000000</f>
        <v>80.913123999999996</v>
      </c>
      <c r="AF67" s="45">
        <f>25024901/1000000</f>
        <v>25.024901</v>
      </c>
      <c r="AG67" s="45">
        <f>18610348.5/1000000</f>
        <v>18.610348500000001</v>
      </c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ht="13.2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ht="13.2" x14ac:dyDescent="0.25">
      <c r="A69" s="9"/>
      <c r="B69" s="9"/>
      <c r="C69" s="9"/>
      <c r="D69" s="9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ht="13.2" x14ac:dyDescent="0.25">
      <c r="A70" s="9"/>
      <c r="B70" s="9"/>
      <c r="C70" s="9"/>
      <c r="D70" s="9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ht="13.2" x14ac:dyDescent="0.25">
      <c r="A71" s="9"/>
      <c r="B71" s="9"/>
      <c r="C71" s="9"/>
      <c r="D71" s="74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ht="13.2" x14ac:dyDescent="0.25">
      <c r="A72" s="9"/>
      <c r="B72" s="9"/>
      <c r="C72" s="9"/>
      <c r="D72" s="74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ht="13.2" x14ac:dyDescent="0.25">
      <c r="A73" s="9"/>
      <c r="B73" s="9"/>
      <c r="C73" s="9"/>
      <c r="D73" s="74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ht="13.2" x14ac:dyDescent="0.25">
      <c r="A74" s="9"/>
      <c r="B74" s="9"/>
      <c r="C74" s="9"/>
      <c r="D74" s="74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ht="13.2" x14ac:dyDescent="0.25">
      <c r="A75" s="9"/>
      <c r="B75" s="9"/>
      <c r="C75" s="9"/>
      <c r="D75" s="74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ht="13.2" x14ac:dyDescent="0.25">
      <c r="A76" s="9"/>
      <c r="B76" s="9"/>
      <c r="C76" s="9"/>
      <c r="D76" s="74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ht="13.2" x14ac:dyDescent="0.25">
      <c r="A77" s="9"/>
      <c r="B77" s="9"/>
      <c r="C77" s="9"/>
      <c r="D77" s="74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ht="13.2" x14ac:dyDescent="0.25">
      <c r="A78" s="9"/>
      <c r="B78" s="9"/>
      <c r="C78" s="9"/>
      <c r="D78" s="74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ht="13.2" x14ac:dyDescent="0.25">
      <c r="A79" s="9"/>
      <c r="B79" s="9"/>
      <c r="C79" s="9"/>
      <c r="D79" s="74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spans="1:47" ht="13.2" x14ac:dyDescent="0.25">
      <c r="A80" s="9"/>
      <c r="B80" s="9"/>
      <c r="C80" s="9"/>
      <c r="D80" s="74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spans="1:47" ht="13.2" x14ac:dyDescent="0.25">
      <c r="A81" s="9"/>
      <c r="B81" s="9"/>
      <c r="C81" s="9"/>
      <c r="D81" s="74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1:47" ht="13.2" x14ac:dyDescent="0.25">
      <c r="A82" s="9"/>
      <c r="B82" s="9"/>
      <c r="C82" s="9"/>
      <c r="D82" s="74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1:47" ht="13.2" x14ac:dyDescent="0.25">
      <c r="A83" s="9"/>
      <c r="B83" s="9"/>
      <c r="C83" s="9"/>
      <c r="D83" s="74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1:47" ht="13.2" x14ac:dyDescent="0.25">
      <c r="A84" s="9"/>
      <c r="B84" s="9"/>
      <c r="C84" s="9"/>
      <c r="D84" s="74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1:47" ht="13.2" x14ac:dyDescent="0.25">
      <c r="A85" s="9"/>
      <c r="B85" s="9"/>
      <c r="C85" s="9"/>
      <c r="D85" s="74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spans="1:47" ht="13.2" x14ac:dyDescent="0.25">
      <c r="A86" s="9"/>
      <c r="B86" s="9"/>
      <c r="C86" s="9"/>
      <c r="D86" s="74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spans="1:47" ht="13.2" x14ac:dyDescent="0.25">
      <c r="A87" s="9"/>
      <c r="B87" s="9"/>
      <c r="C87" s="9"/>
      <c r="D87" s="74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spans="1:47" ht="13.2" x14ac:dyDescent="0.25">
      <c r="A88" s="9"/>
      <c r="B88" s="9"/>
      <c r="C88" s="9"/>
      <c r="D88" s="74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1:47" ht="13.2" x14ac:dyDescent="0.25">
      <c r="A89" s="9"/>
      <c r="B89" s="9"/>
      <c r="C89" s="9"/>
      <c r="D89" s="74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spans="1:47" ht="13.2" x14ac:dyDescent="0.25">
      <c r="A90" s="9"/>
      <c r="B90" s="9"/>
      <c r="C90" s="9"/>
      <c r="D90" s="74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spans="1:47" ht="13.2" x14ac:dyDescent="0.25">
      <c r="A91" s="9"/>
      <c r="B91" s="9"/>
      <c r="C91" s="9"/>
      <c r="D91" s="74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spans="1:47" ht="13.2" x14ac:dyDescent="0.25">
      <c r="A92" s="9"/>
      <c r="B92" s="9"/>
      <c r="C92" s="9"/>
      <c r="D92" s="74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spans="1:47" ht="13.2" x14ac:dyDescent="0.25">
      <c r="A93" s="9"/>
      <c r="B93" s="9"/>
      <c r="C93" s="9"/>
      <c r="D93" s="74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1:47" ht="13.2" x14ac:dyDescent="0.25">
      <c r="A94" s="9"/>
      <c r="B94" s="9"/>
      <c r="C94" s="9"/>
      <c r="D94" s="74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spans="1:47" ht="13.2" x14ac:dyDescent="0.25">
      <c r="A95" s="9"/>
      <c r="B95" s="9"/>
      <c r="C95" s="9"/>
      <c r="D95" s="74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1:47" ht="13.2" x14ac:dyDescent="0.25">
      <c r="A96" s="9"/>
      <c r="B96" s="9"/>
      <c r="C96" s="9"/>
      <c r="D96" s="74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1:47" ht="13.2" x14ac:dyDescent="0.25">
      <c r="A97" s="9"/>
      <c r="B97" s="9"/>
      <c r="C97" s="9"/>
      <c r="D97" s="74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1:47" ht="13.2" x14ac:dyDescent="0.25">
      <c r="A98" s="9"/>
      <c r="B98" s="9"/>
      <c r="C98" s="9"/>
      <c r="D98" s="74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spans="1:47" ht="13.2" x14ac:dyDescent="0.25">
      <c r="A99" s="9"/>
      <c r="B99" s="9"/>
      <c r="C99" s="9"/>
      <c r="D99" s="74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spans="1:47" ht="13.2" x14ac:dyDescent="0.25">
      <c r="A100" s="9"/>
      <c r="B100" s="9"/>
      <c r="C100" s="9"/>
      <c r="D100" s="74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spans="1:47" ht="13.2" x14ac:dyDescent="0.25">
      <c r="A101" s="9"/>
      <c r="B101" s="9"/>
      <c r="C101" s="9"/>
      <c r="D101" s="74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spans="1:47" ht="13.2" x14ac:dyDescent="0.25">
      <c r="A102" s="9"/>
      <c r="B102" s="9"/>
      <c r="C102" s="9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spans="1:47" ht="13.2" x14ac:dyDescent="0.25">
      <c r="A103" s="9"/>
      <c r="B103" s="9"/>
      <c r="C103" s="9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spans="1:47" ht="13.2" x14ac:dyDescent="0.25">
      <c r="A104" s="9"/>
      <c r="B104" s="9"/>
      <c r="C104" s="9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spans="1:47" ht="13.2" x14ac:dyDescent="0.25">
      <c r="A105" s="9"/>
      <c r="B105" s="9"/>
      <c r="C105" s="9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spans="1:47" ht="13.2" x14ac:dyDescent="0.25">
      <c r="A106" s="9"/>
      <c r="B106" s="9"/>
      <c r="C106" s="9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spans="1:47" ht="13.2" x14ac:dyDescent="0.25">
      <c r="A107" s="9"/>
      <c r="B107" s="9"/>
      <c r="C107" s="9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1:47" ht="13.2" x14ac:dyDescent="0.25">
      <c r="A108" s="9"/>
      <c r="B108" s="9"/>
      <c r="C108" s="9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1:47" ht="13.2" x14ac:dyDescent="0.25">
      <c r="A109" s="9"/>
      <c r="B109" s="9"/>
      <c r="C109" s="9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spans="1:47" ht="13.2" x14ac:dyDescent="0.25">
      <c r="A110" s="9"/>
      <c r="B110" s="9"/>
      <c r="C110" s="9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spans="1:47" ht="13.2" x14ac:dyDescent="0.25">
      <c r="A111" s="9"/>
      <c r="B111" s="9"/>
      <c r="C111" s="9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spans="1:47" ht="13.2" x14ac:dyDescent="0.25">
      <c r="A112" s="9"/>
      <c r="B112" s="9"/>
      <c r="C112" s="9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spans="1:47" ht="13.2" x14ac:dyDescent="0.25">
      <c r="A113" s="9"/>
      <c r="B113" s="9"/>
      <c r="C113" s="9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spans="1:47" ht="13.2" x14ac:dyDescent="0.25">
      <c r="A114" s="9"/>
      <c r="B114" s="9"/>
      <c r="C114" s="9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1:47" ht="13.2" x14ac:dyDescent="0.25">
      <c r="A115" s="9"/>
      <c r="B115" s="9"/>
      <c r="C115" s="9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spans="1:47" ht="13.2" x14ac:dyDescent="0.25">
      <c r="A116" s="9"/>
      <c r="B116" s="9"/>
      <c r="C116" s="9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1:47" ht="13.2" x14ac:dyDescent="0.25">
      <c r="A117" s="9"/>
      <c r="B117" s="9"/>
      <c r="C117" s="9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1:47" ht="13.2" x14ac:dyDescent="0.25">
      <c r="A118" s="9"/>
      <c r="B118" s="9"/>
      <c r="C118" s="9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1:47" ht="13.2" x14ac:dyDescent="0.25">
      <c r="A119" s="9"/>
      <c r="B119" s="9"/>
      <c r="C119" s="9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1:47" ht="13.2" x14ac:dyDescent="0.25">
      <c r="A120" s="9"/>
      <c r="B120" s="9"/>
      <c r="C120" s="9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1:47" ht="13.2" x14ac:dyDescent="0.25">
      <c r="A121" s="9"/>
      <c r="B121" s="9"/>
      <c r="C121" s="9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1:47" ht="13.2" x14ac:dyDescent="0.25">
      <c r="A122" s="9"/>
      <c r="B122" s="9"/>
      <c r="C122" s="9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1:47" ht="13.2" x14ac:dyDescent="0.25">
      <c r="A123" s="9"/>
      <c r="B123" s="9"/>
      <c r="C123" s="9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spans="1:47" ht="13.2" x14ac:dyDescent="0.25">
      <c r="A124" s="9"/>
      <c r="B124" s="9"/>
      <c r="C124" s="9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1:47" ht="13.2" x14ac:dyDescent="0.25">
      <c r="A125" s="9"/>
      <c r="B125" s="9"/>
      <c r="C125" s="9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1:47" ht="13.2" x14ac:dyDescent="0.25">
      <c r="A126" s="9"/>
      <c r="B126" s="9"/>
      <c r="C126" s="9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1:47" ht="13.2" x14ac:dyDescent="0.25">
      <c r="A127" s="9"/>
      <c r="B127" s="9"/>
      <c r="C127" s="9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1:47" ht="13.2" x14ac:dyDescent="0.25">
      <c r="A128" s="9"/>
      <c r="B128" s="9"/>
      <c r="C128" s="9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1:47" ht="13.2" x14ac:dyDescent="0.25">
      <c r="A129" s="9"/>
      <c r="B129" s="9"/>
      <c r="C129" s="9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1:47" ht="13.2" x14ac:dyDescent="0.25">
      <c r="A130" s="9"/>
      <c r="B130" s="9"/>
      <c r="C130" s="9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1:47" ht="13.2" x14ac:dyDescent="0.25">
      <c r="A131" s="9"/>
      <c r="B131" s="9"/>
      <c r="C131" s="9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spans="1:47" ht="13.2" x14ac:dyDescent="0.25">
      <c r="A132" s="9"/>
      <c r="B132" s="9"/>
      <c r="C132" s="9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spans="1:47" ht="13.2" x14ac:dyDescent="0.25">
      <c r="A133" s="9"/>
      <c r="B133" s="9"/>
      <c r="C133" s="9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spans="1:47" ht="13.2" x14ac:dyDescent="0.25">
      <c r="A134" s="9"/>
      <c r="B134" s="9"/>
      <c r="C134" s="9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spans="1:47" ht="13.2" x14ac:dyDescent="0.25">
      <c r="A135" s="9"/>
      <c r="B135" s="9"/>
      <c r="C135" s="9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1:47" ht="13.2" x14ac:dyDescent="0.25">
      <c r="A136" s="9"/>
      <c r="B136" s="9"/>
      <c r="C136" s="9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spans="1:47" ht="13.2" x14ac:dyDescent="0.25">
      <c r="A137" s="9"/>
      <c r="B137" s="9"/>
      <c r="C137" s="9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spans="1:47" ht="13.2" x14ac:dyDescent="0.25">
      <c r="A138" s="9"/>
      <c r="B138" s="9"/>
      <c r="C138" s="9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spans="1:47" ht="13.2" x14ac:dyDescent="0.25">
      <c r="A139" s="9"/>
      <c r="B139" s="9"/>
      <c r="C139" s="9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spans="1:47" ht="13.2" x14ac:dyDescent="0.25">
      <c r="A140" s="9"/>
      <c r="B140" s="9"/>
      <c r="C140" s="9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spans="1:47" ht="13.2" x14ac:dyDescent="0.25">
      <c r="A141" s="9"/>
      <c r="B141" s="9"/>
      <c r="C141" s="9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spans="1:47" ht="13.2" x14ac:dyDescent="0.25">
      <c r="A142" s="9"/>
      <c r="B142" s="9"/>
      <c r="C142" s="9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spans="1:47" ht="13.2" x14ac:dyDescent="0.25">
      <c r="A143" s="9"/>
      <c r="B143" s="9"/>
      <c r="C143" s="9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spans="1:47" ht="13.2" x14ac:dyDescent="0.25">
      <c r="A144" s="9"/>
      <c r="B144" s="9"/>
      <c r="C144" s="9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spans="1:47" ht="13.2" x14ac:dyDescent="0.25">
      <c r="A145" s="9"/>
      <c r="B145" s="9"/>
      <c r="C145" s="9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spans="1:47" ht="13.2" x14ac:dyDescent="0.25">
      <c r="A146" s="9"/>
      <c r="B146" s="9"/>
      <c r="C146" s="9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spans="1:47" ht="13.2" x14ac:dyDescent="0.25">
      <c r="A147" s="9"/>
      <c r="B147" s="9"/>
      <c r="C147" s="9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spans="1:47" ht="13.2" x14ac:dyDescent="0.25">
      <c r="A148" s="9"/>
      <c r="B148" s="9"/>
      <c r="C148" s="9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spans="1:47" ht="13.2" x14ac:dyDescent="0.25">
      <c r="A149" s="9"/>
      <c r="B149" s="9"/>
      <c r="C149" s="9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spans="1:47" ht="13.2" x14ac:dyDescent="0.25">
      <c r="A150" s="9"/>
      <c r="B150" s="9"/>
      <c r="C150" s="9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spans="1:47" ht="13.2" x14ac:dyDescent="0.25">
      <c r="A151" s="9"/>
      <c r="B151" s="9"/>
      <c r="C151" s="9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spans="1:47" ht="13.2" x14ac:dyDescent="0.25">
      <c r="A152" s="9"/>
      <c r="B152" s="9"/>
      <c r="C152" s="9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spans="1:47" ht="13.2" x14ac:dyDescent="0.25">
      <c r="A153" s="9"/>
      <c r="B153" s="9"/>
      <c r="C153" s="9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spans="1:47" ht="13.2" x14ac:dyDescent="0.25">
      <c r="A154" s="9"/>
      <c r="B154" s="9"/>
      <c r="C154" s="9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spans="1:47" ht="13.2" x14ac:dyDescent="0.25">
      <c r="A155" s="9"/>
      <c r="B155" s="9"/>
      <c r="C155" s="9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spans="1:47" ht="13.2" x14ac:dyDescent="0.25">
      <c r="A156" s="9"/>
      <c r="B156" s="9"/>
      <c r="C156" s="9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spans="1:47" ht="13.2" x14ac:dyDescent="0.25">
      <c r="A157" s="9"/>
      <c r="B157" s="9"/>
      <c r="C157" s="9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spans="1:47" ht="13.2" x14ac:dyDescent="0.25">
      <c r="A158" s="9"/>
      <c r="B158" s="9"/>
      <c r="C158" s="9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spans="1:47" ht="13.2" x14ac:dyDescent="0.25">
      <c r="A159" s="9"/>
      <c r="B159" s="9"/>
      <c r="C159" s="9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spans="1:47" ht="13.2" x14ac:dyDescent="0.25">
      <c r="A160" s="9"/>
      <c r="B160" s="9"/>
      <c r="C160" s="9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spans="1:47" ht="13.2" x14ac:dyDescent="0.25">
      <c r="A161" s="9"/>
      <c r="B161" s="9"/>
      <c r="C161" s="9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spans="1:47" ht="13.2" x14ac:dyDescent="0.25">
      <c r="A162" s="9"/>
      <c r="B162" s="9"/>
      <c r="C162" s="9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spans="1:47" ht="13.2" x14ac:dyDescent="0.25">
      <c r="A163" s="9"/>
      <c r="B163" s="9"/>
      <c r="C163" s="9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spans="1:47" ht="13.2" x14ac:dyDescent="0.25">
      <c r="A164" s="9"/>
      <c r="B164" s="9"/>
      <c r="C164" s="9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spans="1:47" ht="13.2" x14ac:dyDescent="0.25">
      <c r="A165" s="9"/>
      <c r="B165" s="9"/>
      <c r="C165" s="9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spans="1:47" ht="13.2" x14ac:dyDescent="0.25">
      <c r="A166" s="9"/>
      <c r="B166" s="9"/>
      <c r="C166" s="9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spans="1:47" ht="13.2" x14ac:dyDescent="0.25">
      <c r="A167" s="9"/>
      <c r="B167" s="9"/>
      <c r="C167" s="9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spans="1:47" ht="13.2" x14ac:dyDescent="0.25">
      <c r="A168" s="9"/>
      <c r="B168" s="9"/>
      <c r="C168" s="9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spans="1:47" ht="13.2" x14ac:dyDescent="0.25">
      <c r="A169" s="9"/>
      <c r="B169" s="9"/>
      <c r="C169" s="9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spans="1:47" ht="13.2" x14ac:dyDescent="0.25">
      <c r="A170" s="9"/>
      <c r="B170" s="9"/>
      <c r="C170" s="9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spans="1:47" ht="13.2" x14ac:dyDescent="0.25">
      <c r="A171" s="9"/>
      <c r="B171" s="9"/>
      <c r="C171" s="9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spans="1:47" ht="13.2" x14ac:dyDescent="0.25">
      <c r="A172" s="9"/>
      <c r="B172" s="9"/>
      <c r="C172" s="9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1:47" ht="13.2" x14ac:dyDescent="0.25">
      <c r="A173" s="9"/>
      <c r="B173" s="9"/>
      <c r="C173" s="9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1:47" ht="13.2" x14ac:dyDescent="0.25">
      <c r="A174" s="9"/>
      <c r="B174" s="9"/>
      <c r="C174" s="9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spans="1:47" ht="13.2" x14ac:dyDescent="0.25">
      <c r="A175" s="9"/>
      <c r="B175" s="9"/>
      <c r="C175" s="9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spans="1:47" ht="13.2" x14ac:dyDescent="0.25">
      <c r="A176" s="9"/>
      <c r="B176" s="9"/>
      <c r="C176" s="9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spans="1:47" ht="13.2" x14ac:dyDescent="0.25">
      <c r="A177" s="9"/>
      <c r="B177" s="9"/>
      <c r="C177" s="9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spans="1:47" ht="13.2" x14ac:dyDescent="0.25">
      <c r="A178" s="9"/>
      <c r="B178" s="9"/>
      <c r="C178" s="9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1:47" ht="13.2" x14ac:dyDescent="0.25">
      <c r="A179" s="9"/>
      <c r="B179" s="9"/>
      <c r="C179" s="9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spans="1:47" ht="13.2" x14ac:dyDescent="0.25">
      <c r="A180" s="9"/>
      <c r="B180" s="9"/>
      <c r="C180" s="9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spans="1:47" ht="13.2" x14ac:dyDescent="0.25">
      <c r="A181" s="9"/>
      <c r="B181" s="9"/>
      <c r="C181" s="9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spans="1:47" ht="13.2" x14ac:dyDescent="0.25">
      <c r="A182" s="9"/>
      <c r="B182" s="9"/>
      <c r="C182" s="9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1:47" ht="13.2" x14ac:dyDescent="0.25">
      <c r="A183" s="9"/>
      <c r="B183" s="9"/>
      <c r="C183" s="9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spans="1:47" ht="13.2" x14ac:dyDescent="0.25">
      <c r="A184" s="9"/>
      <c r="B184" s="9"/>
      <c r="C184" s="9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1:47" ht="13.2" x14ac:dyDescent="0.25">
      <c r="A185" s="9"/>
      <c r="B185" s="9"/>
      <c r="C185" s="9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1:47" ht="13.2" x14ac:dyDescent="0.25">
      <c r="A186" s="9"/>
      <c r="B186" s="9"/>
      <c r="C186" s="9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spans="1:47" ht="13.2" x14ac:dyDescent="0.25">
      <c r="A187" s="9"/>
      <c r="B187" s="9"/>
      <c r="C187" s="9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spans="1:47" ht="13.2" x14ac:dyDescent="0.25">
      <c r="A188" s="9"/>
      <c r="B188" s="9"/>
      <c r="C188" s="9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spans="1:47" ht="13.2" x14ac:dyDescent="0.25">
      <c r="A189" s="9"/>
      <c r="B189" s="9"/>
      <c r="C189" s="9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spans="1:47" ht="13.2" x14ac:dyDescent="0.25">
      <c r="A190" s="9"/>
      <c r="B190" s="9"/>
      <c r="C190" s="9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spans="1:47" ht="13.2" x14ac:dyDescent="0.25">
      <c r="A191" s="9"/>
      <c r="B191" s="9"/>
      <c r="C191" s="9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spans="1:47" ht="13.2" x14ac:dyDescent="0.25">
      <c r="A192" s="9"/>
      <c r="B192" s="9"/>
      <c r="C192" s="9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spans="1:47" ht="13.2" x14ac:dyDescent="0.25">
      <c r="A193" s="9"/>
      <c r="B193" s="9"/>
      <c r="C193" s="9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spans="1:47" ht="13.2" x14ac:dyDescent="0.25">
      <c r="A194" s="9"/>
      <c r="B194" s="9"/>
      <c r="C194" s="9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spans="1:47" ht="13.2" x14ac:dyDescent="0.25">
      <c r="A195" s="9"/>
      <c r="B195" s="9"/>
      <c r="C195" s="9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spans="1:47" ht="13.2" x14ac:dyDescent="0.25">
      <c r="A196" s="9"/>
      <c r="B196" s="9"/>
      <c r="C196" s="9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</row>
    <row r="197" spans="1:47" ht="13.2" x14ac:dyDescent="0.25">
      <c r="A197" s="9"/>
      <c r="B197" s="9"/>
      <c r="C197" s="9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</row>
    <row r="198" spans="1:47" ht="13.2" x14ac:dyDescent="0.25">
      <c r="A198" s="9"/>
      <c r="B198" s="9"/>
      <c r="C198" s="9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spans="1:47" ht="13.2" x14ac:dyDescent="0.25">
      <c r="A199" s="9"/>
      <c r="B199" s="9"/>
      <c r="C199" s="9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spans="1:47" ht="13.2" x14ac:dyDescent="0.25">
      <c r="A200" s="9"/>
      <c r="B200" s="9"/>
      <c r="C200" s="9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spans="1:47" ht="13.2" x14ac:dyDescent="0.25">
      <c r="A201" s="9"/>
      <c r="B201" s="9"/>
      <c r="C201" s="9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spans="1:47" ht="13.2" x14ac:dyDescent="0.25">
      <c r="A202" s="9"/>
      <c r="B202" s="9"/>
      <c r="C202" s="9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spans="1:47" ht="13.2" x14ac:dyDescent="0.25">
      <c r="A203" s="9"/>
      <c r="B203" s="9"/>
      <c r="C203" s="9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spans="1:47" ht="13.2" x14ac:dyDescent="0.25">
      <c r="A204" s="9"/>
      <c r="B204" s="9"/>
      <c r="C204" s="9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spans="1:47" ht="13.2" x14ac:dyDescent="0.25">
      <c r="A205" s="9"/>
      <c r="B205" s="9"/>
      <c r="C205" s="9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spans="1:47" ht="13.2" x14ac:dyDescent="0.25">
      <c r="A206" s="9"/>
      <c r="B206" s="9"/>
      <c r="C206" s="9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spans="1:47" ht="13.2" x14ac:dyDescent="0.25">
      <c r="A207" s="9"/>
      <c r="B207" s="9"/>
      <c r="C207" s="9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spans="1:47" ht="13.2" x14ac:dyDescent="0.25">
      <c r="A208" s="9"/>
      <c r="B208" s="9"/>
      <c r="C208" s="9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spans="1:47" ht="13.2" x14ac:dyDescent="0.25">
      <c r="A209" s="9"/>
      <c r="B209" s="9"/>
      <c r="C209" s="9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spans="1:47" ht="13.2" x14ac:dyDescent="0.25">
      <c r="A210" s="9"/>
      <c r="B210" s="9"/>
      <c r="C210" s="9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spans="1:47" ht="13.2" x14ac:dyDescent="0.25">
      <c r="A211" s="9"/>
      <c r="B211" s="9"/>
      <c r="C211" s="9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spans="1:47" ht="13.2" x14ac:dyDescent="0.25">
      <c r="A212" s="9"/>
      <c r="B212" s="9"/>
      <c r="C212" s="9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spans="1:47" ht="13.2" x14ac:dyDescent="0.25">
      <c r="A213" s="9"/>
      <c r="B213" s="9"/>
      <c r="C213" s="9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spans="1:47" ht="13.2" x14ac:dyDescent="0.25">
      <c r="A214" s="9"/>
      <c r="B214" s="9"/>
      <c r="C214" s="9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spans="1:47" ht="13.2" x14ac:dyDescent="0.25">
      <c r="A215" s="9"/>
      <c r="B215" s="9"/>
      <c r="C215" s="9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spans="1:47" ht="13.2" x14ac:dyDescent="0.25">
      <c r="A216" s="9"/>
      <c r="B216" s="9"/>
      <c r="C216" s="9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spans="1:47" ht="13.2" x14ac:dyDescent="0.25">
      <c r="A217" s="9"/>
      <c r="B217" s="9"/>
      <c r="C217" s="9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spans="1:47" ht="13.2" x14ac:dyDescent="0.25">
      <c r="A218" s="9"/>
      <c r="B218" s="9"/>
      <c r="C218" s="9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spans="1:47" ht="13.2" x14ac:dyDescent="0.25">
      <c r="A219" s="9"/>
      <c r="B219" s="9"/>
      <c r="C219" s="9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spans="1:47" ht="13.2" x14ac:dyDescent="0.25">
      <c r="A220" s="9"/>
      <c r="B220" s="9"/>
      <c r="C220" s="9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spans="1:47" ht="13.2" x14ac:dyDescent="0.25">
      <c r="A221" s="9"/>
      <c r="B221" s="9"/>
      <c r="C221" s="9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spans="1:47" ht="13.2" x14ac:dyDescent="0.25">
      <c r="A222" s="9"/>
      <c r="B222" s="9"/>
      <c r="C222" s="9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spans="1:47" ht="13.2" x14ac:dyDescent="0.25">
      <c r="A223" s="9"/>
      <c r="B223" s="9"/>
      <c r="C223" s="9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spans="1:47" ht="13.2" x14ac:dyDescent="0.25">
      <c r="A224" s="9"/>
      <c r="B224" s="9"/>
      <c r="C224" s="9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spans="1:47" ht="13.2" x14ac:dyDescent="0.25">
      <c r="A225" s="9"/>
      <c r="B225" s="9"/>
      <c r="C225" s="9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1:47" ht="13.2" x14ac:dyDescent="0.25">
      <c r="A226" s="9"/>
      <c r="B226" s="9"/>
      <c r="C226" s="9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spans="1:47" ht="13.2" x14ac:dyDescent="0.25">
      <c r="A227" s="9"/>
      <c r="B227" s="9"/>
      <c r="C227" s="9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spans="1:47" ht="13.2" x14ac:dyDescent="0.25">
      <c r="A228" s="9"/>
      <c r="B228" s="9"/>
      <c r="C228" s="9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spans="1:47" ht="13.2" x14ac:dyDescent="0.25">
      <c r="A229" s="9"/>
      <c r="B229" s="9"/>
      <c r="C229" s="9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spans="1:47" ht="13.2" x14ac:dyDescent="0.25">
      <c r="A230" s="9"/>
      <c r="B230" s="9"/>
      <c r="C230" s="9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spans="1:47" ht="13.2" x14ac:dyDescent="0.25">
      <c r="A231" s="9"/>
      <c r="B231" s="9"/>
      <c r="C231" s="9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spans="1:47" ht="13.2" x14ac:dyDescent="0.25">
      <c r="A232" s="9"/>
      <c r="B232" s="9"/>
      <c r="C232" s="9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spans="1:47" ht="13.2" x14ac:dyDescent="0.25">
      <c r="A233" s="9"/>
      <c r="B233" s="9"/>
      <c r="C233" s="9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spans="1:47" ht="13.2" x14ac:dyDescent="0.25">
      <c r="A234" s="9"/>
      <c r="B234" s="9"/>
      <c r="C234" s="9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spans="1:47" ht="13.2" x14ac:dyDescent="0.25">
      <c r="A235" s="9"/>
      <c r="B235" s="9"/>
      <c r="C235" s="9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spans="1:47" ht="13.2" x14ac:dyDescent="0.25">
      <c r="A236" s="9"/>
      <c r="B236" s="9"/>
      <c r="C236" s="9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spans="1:47" ht="13.2" x14ac:dyDescent="0.25">
      <c r="A237" s="9"/>
      <c r="B237" s="9"/>
      <c r="C237" s="9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spans="1:47" ht="13.2" x14ac:dyDescent="0.25">
      <c r="A238" s="9"/>
      <c r="B238" s="9"/>
      <c r="C238" s="9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spans="1:47" ht="13.2" x14ac:dyDescent="0.25">
      <c r="A239" s="9"/>
      <c r="B239" s="9"/>
      <c r="C239" s="9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spans="1:47" ht="13.2" x14ac:dyDescent="0.25">
      <c r="A240" s="9"/>
      <c r="B240" s="9"/>
      <c r="C240" s="9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spans="1:47" ht="13.2" x14ac:dyDescent="0.25">
      <c r="A241" s="9"/>
      <c r="B241" s="9"/>
      <c r="C241" s="9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1:47" ht="13.2" x14ac:dyDescent="0.25">
      <c r="A242" s="9"/>
      <c r="B242" s="9"/>
      <c r="C242" s="9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1:47" ht="13.2" x14ac:dyDescent="0.25">
      <c r="A243" s="9"/>
      <c r="B243" s="9"/>
      <c r="C243" s="9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1:47" ht="13.2" x14ac:dyDescent="0.25">
      <c r="A244" s="9"/>
      <c r="B244" s="9"/>
      <c r="C244" s="9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1:47" ht="13.2" x14ac:dyDescent="0.25">
      <c r="A245" s="9"/>
      <c r="B245" s="9"/>
      <c r="C245" s="9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1:47" ht="13.2" x14ac:dyDescent="0.25">
      <c r="A246" s="9"/>
      <c r="B246" s="9"/>
      <c r="C246" s="9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1:47" ht="13.2" x14ac:dyDescent="0.25">
      <c r="A247" s="9"/>
      <c r="B247" s="9"/>
      <c r="C247" s="9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1:47" ht="13.2" x14ac:dyDescent="0.25">
      <c r="A248" s="9"/>
      <c r="B248" s="9"/>
      <c r="C248" s="9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1:47" ht="13.2" x14ac:dyDescent="0.25">
      <c r="A249" s="9"/>
      <c r="B249" s="9"/>
      <c r="C249" s="9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spans="1:47" ht="13.2" x14ac:dyDescent="0.25">
      <c r="A250" s="9"/>
      <c r="B250" s="9"/>
      <c r="C250" s="9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spans="1:47" ht="13.2" x14ac:dyDescent="0.25">
      <c r="A251" s="9"/>
      <c r="B251" s="9"/>
      <c r="C251" s="9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1:47" ht="13.2" x14ac:dyDescent="0.25">
      <c r="A252" s="9"/>
      <c r="B252" s="9"/>
      <c r="C252" s="9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spans="1:47" ht="13.2" x14ac:dyDescent="0.25">
      <c r="A253" s="9"/>
      <c r="B253" s="9"/>
      <c r="C253" s="9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spans="1:47" ht="13.2" x14ac:dyDescent="0.25">
      <c r="A254" s="9"/>
      <c r="B254" s="9"/>
      <c r="C254" s="9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spans="1:47" ht="13.2" x14ac:dyDescent="0.25">
      <c r="A255" s="9"/>
      <c r="B255" s="9"/>
      <c r="C255" s="9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spans="1:47" ht="13.2" x14ac:dyDescent="0.25">
      <c r="A256" s="9"/>
      <c r="B256" s="9"/>
      <c r="C256" s="9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spans="1:47" ht="13.2" x14ac:dyDescent="0.25">
      <c r="A257" s="9"/>
      <c r="B257" s="9"/>
      <c r="C257" s="9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1:47" ht="13.2" x14ac:dyDescent="0.25">
      <c r="A258" s="9"/>
      <c r="B258" s="9"/>
      <c r="C258" s="9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1:47" ht="13.2" x14ac:dyDescent="0.25">
      <c r="A259" s="9"/>
      <c r="B259" s="9"/>
      <c r="C259" s="9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spans="1:47" ht="13.2" x14ac:dyDescent="0.25">
      <c r="A260" s="9"/>
      <c r="B260" s="9"/>
      <c r="C260" s="9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spans="1:47" ht="13.2" x14ac:dyDescent="0.25">
      <c r="A261" s="9"/>
      <c r="B261" s="9"/>
      <c r="C261" s="9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spans="1:47" ht="13.2" x14ac:dyDescent="0.25">
      <c r="A262" s="9"/>
      <c r="B262" s="9"/>
      <c r="C262" s="9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spans="1:47" ht="13.2" x14ac:dyDescent="0.25">
      <c r="A263" s="9"/>
      <c r="B263" s="9"/>
      <c r="C263" s="9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spans="1:47" ht="13.2" x14ac:dyDescent="0.25">
      <c r="A264" s="9"/>
      <c r="B264" s="9"/>
      <c r="C264" s="9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spans="1:47" ht="13.2" x14ac:dyDescent="0.25">
      <c r="A265" s="9"/>
      <c r="B265" s="9"/>
      <c r="C265" s="9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spans="1:47" ht="13.2" x14ac:dyDescent="0.25">
      <c r="A266" s="9"/>
      <c r="B266" s="9"/>
      <c r="C266" s="9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spans="1:47" ht="13.2" x14ac:dyDescent="0.25">
      <c r="A267" s="9"/>
      <c r="B267" s="9"/>
      <c r="C267" s="9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spans="1:47" ht="13.2" x14ac:dyDescent="0.25">
      <c r="A268" s="9"/>
      <c r="B268" s="9"/>
      <c r="C268" s="9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spans="1:47" ht="13.2" x14ac:dyDescent="0.25">
      <c r="A269" s="9"/>
      <c r="B269" s="9"/>
      <c r="C269" s="9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spans="1:47" ht="13.2" x14ac:dyDescent="0.25">
      <c r="A270" s="9"/>
      <c r="B270" s="9"/>
      <c r="C270" s="9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spans="1:47" ht="13.2" x14ac:dyDescent="0.25">
      <c r="A271" s="9"/>
      <c r="B271" s="9"/>
      <c r="C271" s="9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spans="1:47" ht="13.2" x14ac:dyDescent="0.25">
      <c r="A272" s="9"/>
      <c r="B272" s="9"/>
      <c r="C272" s="9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spans="1:47" ht="13.2" x14ac:dyDescent="0.25">
      <c r="A273" s="9"/>
      <c r="B273" s="9"/>
      <c r="C273" s="9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1:47" ht="13.2" x14ac:dyDescent="0.25">
      <c r="A274" s="9"/>
      <c r="B274" s="9"/>
      <c r="C274" s="9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1:47" ht="13.2" x14ac:dyDescent="0.25">
      <c r="A275" s="9"/>
      <c r="B275" s="9"/>
      <c r="C275" s="9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1:47" ht="13.2" x14ac:dyDescent="0.25">
      <c r="A276" s="9"/>
      <c r="B276" s="9"/>
      <c r="C276" s="9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spans="1:47" ht="13.2" x14ac:dyDescent="0.25">
      <c r="A277" s="9"/>
      <c r="B277" s="9"/>
      <c r="C277" s="9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spans="1:47" ht="13.2" x14ac:dyDescent="0.25">
      <c r="A278" s="9"/>
      <c r="B278" s="9"/>
      <c r="C278" s="9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spans="1:47" ht="13.2" x14ac:dyDescent="0.25">
      <c r="A279" s="9"/>
      <c r="B279" s="9"/>
      <c r="C279" s="9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1:47" ht="13.2" x14ac:dyDescent="0.25">
      <c r="A280" s="9"/>
      <c r="B280" s="9"/>
      <c r="C280" s="9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1:47" ht="13.2" x14ac:dyDescent="0.25">
      <c r="A281" s="9"/>
      <c r="B281" s="9"/>
      <c r="C281" s="9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spans="1:47" ht="13.2" x14ac:dyDescent="0.25">
      <c r="A282" s="9"/>
      <c r="B282" s="9"/>
      <c r="C282" s="9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1:47" ht="13.2" x14ac:dyDescent="0.25">
      <c r="A283" s="9"/>
      <c r="B283" s="9"/>
      <c r="C283" s="9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1:47" ht="13.2" x14ac:dyDescent="0.25">
      <c r="A284" s="9"/>
      <c r="B284" s="9"/>
      <c r="C284" s="9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1:47" ht="13.2" x14ac:dyDescent="0.25">
      <c r="A285" s="9"/>
      <c r="B285" s="9"/>
      <c r="C285" s="9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spans="1:47" ht="13.2" x14ac:dyDescent="0.25">
      <c r="A286" s="9"/>
      <c r="B286" s="9"/>
      <c r="C286" s="9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spans="1:47" ht="13.2" x14ac:dyDescent="0.25">
      <c r="A287" s="9"/>
      <c r="B287" s="9"/>
      <c r="C287" s="9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spans="1:47" ht="13.2" x14ac:dyDescent="0.25">
      <c r="A288" s="9"/>
      <c r="B288" s="9"/>
      <c r="C288" s="9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spans="1:47" ht="13.2" x14ac:dyDescent="0.25">
      <c r="A289" s="9"/>
      <c r="B289" s="9"/>
      <c r="C289" s="9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spans="1:47" ht="13.2" x14ac:dyDescent="0.25">
      <c r="A290" s="9"/>
      <c r="B290" s="9"/>
      <c r="C290" s="9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spans="1:47" ht="13.2" x14ac:dyDescent="0.25">
      <c r="A291" s="9"/>
      <c r="B291" s="9"/>
      <c r="C291" s="9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spans="1:47" ht="13.2" x14ac:dyDescent="0.25">
      <c r="A292" s="9"/>
      <c r="B292" s="9"/>
      <c r="C292" s="9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spans="1:47" ht="13.2" x14ac:dyDescent="0.25">
      <c r="A293" s="9"/>
      <c r="B293" s="9"/>
      <c r="C293" s="9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spans="1:47" ht="13.2" x14ac:dyDescent="0.25">
      <c r="A294" s="9"/>
      <c r="B294" s="9"/>
      <c r="C294" s="9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spans="1:47" ht="13.2" x14ac:dyDescent="0.25">
      <c r="A295" s="9"/>
      <c r="B295" s="9"/>
      <c r="C295" s="9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spans="1:47" ht="13.2" x14ac:dyDescent="0.25">
      <c r="A296" s="9"/>
      <c r="B296" s="9"/>
      <c r="C296" s="9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spans="1:47" ht="13.2" x14ac:dyDescent="0.25">
      <c r="A297" s="9"/>
      <c r="B297" s="9"/>
      <c r="C297" s="9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1:47" ht="13.2" x14ac:dyDescent="0.25">
      <c r="A298" s="9"/>
      <c r="B298" s="9"/>
      <c r="C298" s="9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spans="1:47" ht="13.2" x14ac:dyDescent="0.25">
      <c r="A299" s="9"/>
      <c r="B299" s="9"/>
      <c r="C299" s="9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spans="1:47" ht="13.2" x14ac:dyDescent="0.25">
      <c r="A300" s="9"/>
      <c r="B300" s="9"/>
      <c r="C300" s="9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spans="1:47" ht="13.2" x14ac:dyDescent="0.25">
      <c r="A301" s="9"/>
      <c r="B301" s="9"/>
      <c r="C301" s="9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spans="1:47" ht="13.2" x14ac:dyDescent="0.25">
      <c r="A302" s="9"/>
      <c r="B302" s="9"/>
      <c r="C302" s="9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spans="1:47" ht="13.2" x14ac:dyDescent="0.25">
      <c r="A303" s="9"/>
      <c r="B303" s="9"/>
      <c r="C303" s="9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spans="1:47" ht="13.2" x14ac:dyDescent="0.25">
      <c r="A304" s="9"/>
      <c r="B304" s="9"/>
      <c r="C304" s="9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spans="1:47" ht="13.2" x14ac:dyDescent="0.25">
      <c r="A305" s="9"/>
      <c r="B305" s="9"/>
      <c r="C305" s="9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1:47" ht="13.2" x14ac:dyDescent="0.25">
      <c r="A306" s="9"/>
      <c r="B306" s="9"/>
      <c r="C306" s="9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spans="1:47" ht="13.2" x14ac:dyDescent="0.25">
      <c r="A307" s="9"/>
      <c r="B307" s="9"/>
      <c r="C307" s="9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spans="1:47" ht="13.2" x14ac:dyDescent="0.25">
      <c r="A308" s="9"/>
      <c r="B308" s="9"/>
      <c r="C308" s="9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1:47" ht="13.2" x14ac:dyDescent="0.25">
      <c r="A309" s="9"/>
      <c r="B309" s="9"/>
      <c r="C309" s="9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spans="1:47" ht="13.2" x14ac:dyDescent="0.25">
      <c r="A310" s="9"/>
      <c r="B310" s="9"/>
      <c r="C310" s="9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spans="1:47" ht="13.2" x14ac:dyDescent="0.25">
      <c r="A311" s="9"/>
      <c r="B311" s="9"/>
      <c r="C311" s="9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spans="1:47" ht="13.2" x14ac:dyDescent="0.25">
      <c r="A312" s="9"/>
      <c r="B312" s="9"/>
      <c r="C312" s="9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spans="1:47" ht="13.2" x14ac:dyDescent="0.25">
      <c r="A313" s="9"/>
      <c r="B313" s="9"/>
      <c r="C313" s="9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1:47" ht="13.2" x14ac:dyDescent="0.25">
      <c r="A314" s="9"/>
      <c r="B314" s="9"/>
      <c r="C314" s="9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1:47" ht="13.2" x14ac:dyDescent="0.25">
      <c r="A315" s="9"/>
      <c r="B315" s="9"/>
      <c r="C315" s="9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1:47" ht="13.2" x14ac:dyDescent="0.25">
      <c r="A316" s="9"/>
      <c r="B316" s="9"/>
      <c r="C316" s="9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1:47" ht="13.2" x14ac:dyDescent="0.25">
      <c r="A317" s="9"/>
      <c r="B317" s="9"/>
      <c r="C317" s="9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spans="1:47" ht="13.2" x14ac:dyDescent="0.25">
      <c r="A318" s="9"/>
      <c r="B318" s="9"/>
      <c r="C318" s="9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spans="1:47" ht="13.2" x14ac:dyDescent="0.25">
      <c r="A319" s="9"/>
      <c r="B319" s="9"/>
      <c r="C319" s="9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1:47" ht="13.2" x14ac:dyDescent="0.25">
      <c r="A320" s="9"/>
      <c r="B320" s="9"/>
      <c r="C320" s="9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spans="1:47" ht="13.2" x14ac:dyDescent="0.25">
      <c r="A321" s="9"/>
      <c r="B321" s="9"/>
      <c r="C321" s="9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spans="1:47" ht="13.2" x14ac:dyDescent="0.25">
      <c r="A322" s="9"/>
      <c r="B322" s="9"/>
      <c r="C322" s="9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spans="1:47" ht="13.2" x14ac:dyDescent="0.25">
      <c r="A323" s="9"/>
      <c r="B323" s="9"/>
      <c r="C323" s="9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spans="1:47" ht="13.2" x14ac:dyDescent="0.25">
      <c r="A324" s="9"/>
      <c r="B324" s="9"/>
      <c r="C324" s="9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spans="1:47" ht="13.2" x14ac:dyDescent="0.25">
      <c r="A325" s="9"/>
      <c r="B325" s="9"/>
      <c r="C325" s="9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spans="1:47" ht="13.2" x14ac:dyDescent="0.25">
      <c r="A326" s="9"/>
      <c r="B326" s="9"/>
      <c r="C326" s="9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spans="1:47" ht="13.2" x14ac:dyDescent="0.25">
      <c r="A327" s="9"/>
      <c r="B327" s="9"/>
      <c r="C327" s="9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spans="1:47" ht="13.2" x14ac:dyDescent="0.25">
      <c r="A328" s="9"/>
      <c r="B328" s="9"/>
      <c r="C328" s="9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spans="1:47" ht="13.2" x14ac:dyDescent="0.25">
      <c r="A329" s="9"/>
      <c r="B329" s="9"/>
      <c r="C329" s="9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1:47" ht="13.2" x14ac:dyDescent="0.25">
      <c r="A330" s="9"/>
      <c r="B330" s="9"/>
      <c r="C330" s="9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1:47" ht="13.2" x14ac:dyDescent="0.25">
      <c r="A331" s="9"/>
      <c r="B331" s="9"/>
      <c r="C331" s="9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1:47" ht="13.2" x14ac:dyDescent="0.25">
      <c r="A332" s="9"/>
      <c r="B332" s="9"/>
      <c r="C332" s="9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spans="1:47" ht="13.2" x14ac:dyDescent="0.25">
      <c r="A333" s="9"/>
      <c r="B333" s="9"/>
      <c r="C333" s="9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spans="1:47" ht="13.2" x14ac:dyDescent="0.25">
      <c r="A334" s="9"/>
      <c r="B334" s="9"/>
      <c r="C334" s="9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spans="1:47" ht="13.2" x14ac:dyDescent="0.25">
      <c r="A335" s="9"/>
      <c r="B335" s="9"/>
      <c r="C335" s="9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spans="1:47" ht="13.2" x14ac:dyDescent="0.25">
      <c r="A336" s="9"/>
      <c r="B336" s="9"/>
      <c r="C336" s="9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spans="1:47" ht="13.2" x14ac:dyDescent="0.25">
      <c r="A337" s="9"/>
      <c r="B337" s="9"/>
      <c r="C337" s="9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spans="1:47" ht="13.2" x14ac:dyDescent="0.25">
      <c r="A338" s="9"/>
      <c r="B338" s="9"/>
      <c r="C338" s="9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spans="1:47" ht="13.2" x14ac:dyDescent="0.25">
      <c r="A339" s="9"/>
      <c r="B339" s="9"/>
      <c r="C339" s="9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spans="1:47" ht="13.2" x14ac:dyDescent="0.25">
      <c r="A340" s="9"/>
      <c r="B340" s="9"/>
      <c r="C340" s="9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spans="1:47" ht="13.2" x14ac:dyDescent="0.25">
      <c r="A341" s="9"/>
      <c r="B341" s="9"/>
      <c r="C341" s="9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spans="1:47" ht="13.2" x14ac:dyDescent="0.25">
      <c r="A342" s="9"/>
      <c r="B342" s="9"/>
      <c r="C342" s="9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spans="1:47" ht="13.2" x14ac:dyDescent="0.25">
      <c r="A343" s="9"/>
      <c r="B343" s="9"/>
      <c r="C343" s="9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spans="1:47" ht="13.2" x14ac:dyDescent="0.25">
      <c r="A344" s="9"/>
      <c r="B344" s="9"/>
      <c r="C344" s="9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1:47" ht="13.2" x14ac:dyDescent="0.25">
      <c r="A345" s="9"/>
      <c r="B345" s="9"/>
      <c r="C345" s="9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1:47" ht="13.2" x14ac:dyDescent="0.25">
      <c r="A346" s="9"/>
      <c r="B346" s="9"/>
      <c r="C346" s="9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1:47" ht="13.2" x14ac:dyDescent="0.25">
      <c r="A347" s="9"/>
      <c r="B347" s="9"/>
      <c r="C347" s="9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spans="1:47" ht="13.2" x14ac:dyDescent="0.25">
      <c r="A348" s="9"/>
      <c r="B348" s="9"/>
      <c r="C348" s="9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spans="1:47" ht="13.2" x14ac:dyDescent="0.25">
      <c r="A349" s="9"/>
      <c r="B349" s="9"/>
      <c r="C349" s="9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1:47" ht="13.2" x14ac:dyDescent="0.25">
      <c r="A350" s="9"/>
      <c r="B350" s="9"/>
      <c r="C350" s="9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spans="1:47" ht="13.2" x14ac:dyDescent="0.25">
      <c r="A351" s="9"/>
      <c r="B351" s="9"/>
      <c r="C351" s="9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spans="1:47" ht="13.2" x14ac:dyDescent="0.25">
      <c r="A352" s="9"/>
      <c r="B352" s="9"/>
      <c r="C352" s="9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spans="1:47" ht="13.2" x14ac:dyDescent="0.25">
      <c r="A353" s="9"/>
      <c r="B353" s="9"/>
      <c r="C353" s="9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spans="1:47" ht="13.2" x14ac:dyDescent="0.25">
      <c r="A354" s="9"/>
      <c r="B354" s="9"/>
      <c r="C354" s="9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spans="1:47" ht="13.2" x14ac:dyDescent="0.25">
      <c r="A355" s="9"/>
      <c r="B355" s="9"/>
      <c r="C355" s="9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spans="1:47" ht="13.2" x14ac:dyDescent="0.25">
      <c r="A356" s="9"/>
      <c r="B356" s="9"/>
      <c r="C356" s="9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1:47" ht="13.2" x14ac:dyDescent="0.25">
      <c r="A357" s="9"/>
      <c r="B357" s="9"/>
      <c r="C357" s="9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1:47" ht="13.2" x14ac:dyDescent="0.25">
      <c r="A358" s="9"/>
      <c r="B358" s="9"/>
      <c r="C358" s="9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1:47" ht="13.2" x14ac:dyDescent="0.25">
      <c r="A359" s="9"/>
      <c r="B359" s="9"/>
      <c r="C359" s="9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spans="1:47" ht="13.2" x14ac:dyDescent="0.25">
      <c r="A360" s="9"/>
      <c r="B360" s="9"/>
      <c r="C360" s="9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spans="1:47" ht="13.2" x14ac:dyDescent="0.25">
      <c r="A361" s="9"/>
      <c r="B361" s="9"/>
      <c r="C361" s="9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spans="1:47" ht="13.2" x14ac:dyDescent="0.25">
      <c r="A362" s="9"/>
      <c r="B362" s="9"/>
      <c r="C362" s="9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spans="1:47" ht="13.2" x14ac:dyDescent="0.25">
      <c r="A363" s="9"/>
      <c r="B363" s="9"/>
      <c r="C363" s="9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spans="1:47" ht="13.2" x14ac:dyDescent="0.25">
      <c r="A364" s="9"/>
      <c r="B364" s="9"/>
      <c r="C364" s="9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spans="1:47" ht="13.2" x14ac:dyDescent="0.25">
      <c r="A365" s="9"/>
      <c r="B365" s="9"/>
      <c r="C365" s="9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1:47" ht="13.2" x14ac:dyDescent="0.25">
      <c r="A366" s="9"/>
      <c r="B366" s="9"/>
      <c r="C366" s="9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spans="1:47" ht="13.2" x14ac:dyDescent="0.25">
      <c r="A367" s="9"/>
      <c r="B367" s="9"/>
      <c r="C367" s="9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spans="1:47" ht="13.2" x14ac:dyDescent="0.25">
      <c r="A368" s="9"/>
      <c r="B368" s="9"/>
      <c r="C368" s="9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spans="1:47" ht="13.2" x14ac:dyDescent="0.25">
      <c r="A369" s="9"/>
      <c r="B369" s="9"/>
      <c r="C369" s="9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spans="1:47" ht="13.2" x14ac:dyDescent="0.25">
      <c r="A370" s="9"/>
      <c r="B370" s="9"/>
      <c r="C370" s="9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spans="1:47" ht="13.2" x14ac:dyDescent="0.25">
      <c r="A371" s="9"/>
      <c r="B371" s="9"/>
      <c r="C371" s="9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spans="1:47" ht="13.2" x14ac:dyDescent="0.25">
      <c r="A372" s="9"/>
      <c r="B372" s="9"/>
      <c r="C372" s="9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spans="1:47" ht="13.2" x14ac:dyDescent="0.25">
      <c r="A373" s="9"/>
      <c r="B373" s="9"/>
      <c r="C373" s="9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spans="1:47" ht="13.2" x14ac:dyDescent="0.25">
      <c r="A374" s="9"/>
      <c r="B374" s="9"/>
      <c r="C374" s="9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1:47" ht="13.2" x14ac:dyDescent="0.25">
      <c r="A375" s="9"/>
      <c r="B375" s="9"/>
      <c r="C375" s="9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1:47" ht="13.2" x14ac:dyDescent="0.25">
      <c r="A376" s="9"/>
      <c r="B376" s="9"/>
      <c r="C376" s="9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1:47" ht="13.2" x14ac:dyDescent="0.25">
      <c r="A377" s="9"/>
      <c r="B377" s="9"/>
      <c r="C377" s="9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spans="1:47" ht="13.2" x14ac:dyDescent="0.25">
      <c r="A378" s="9"/>
      <c r="B378" s="9"/>
      <c r="C378" s="9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spans="1:47" ht="13.2" x14ac:dyDescent="0.25">
      <c r="A379" s="9"/>
      <c r="B379" s="9"/>
      <c r="C379" s="9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spans="1:47" ht="13.2" x14ac:dyDescent="0.25">
      <c r="A380" s="9"/>
      <c r="B380" s="9"/>
      <c r="C380" s="9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spans="1:47" ht="13.2" x14ac:dyDescent="0.25">
      <c r="A381" s="9"/>
      <c r="B381" s="9"/>
      <c r="C381" s="9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spans="1:47" ht="13.2" x14ac:dyDescent="0.25">
      <c r="A382" s="9"/>
      <c r="B382" s="9"/>
      <c r="C382" s="9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1:47" ht="13.2" x14ac:dyDescent="0.25">
      <c r="A383" s="9"/>
      <c r="B383" s="9"/>
      <c r="C383" s="9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1:47" ht="13.2" x14ac:dyDescent="0.25">
      <c r="A384" s="9"/>
      <c r="B384" s="9"/>
      <c r="C384" s="9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1:47" ht="13.2" x14ac:dyDescent="0.25">
      <c r="A385" s="9"/>
      <c r="B385" s="9"/>
      <c r="C385" s="9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1:47" ht="13.2" x14ac:dyDescent="0.25">
      <c r="A386" s="9"/>
      <c r="B386" s="9"/>
      <c r="C386" s="9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spans="1:47" ht="13.2" x14ac:dyDescent="0.25">
      <c r="A387" s="9"/>
      <c r="B387" s="9"/>
      <c r="C387" s="9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spans="1:47" ht="13.2" x14ac:dyDescent="0.25">
      <c r="A388" s="9"/>
      <c r="B388" s="9"/>
      <c r="C388" s="9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spans="1:47" ht="13.2" x14ac:dyDescent="0.25">
      <c r="A389" s="9"/>
      <c r="B389" s="9"/>
      <c r="C389" s="9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spans="1:47" ht="13.2" x14ac:dyDescent="0.25">
      <c r="A390" s="9"/>
      <c r="B390" s="9"/>
      <c r="C390" s="9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spans="1:47" ht="13.2" x14ac:dyDescent="0.25">
      <c r="A391" s="9"/>
      <c r="B391" s="9"/>
      <c r="C391" s="9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spans="1:47" ht="13.2" x14ac:dyDescent="0.25">
      <c r="A392" s="9"/>
      <c r="B392" s="9"/>
      <c r="C392" s="9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spans="1:47" ht="13.2" x14ac:dyDescent="0.25">
      <c r="A393" s="9"/>
      <c r="B393" s="9"/>
      <c r="C393" s="9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spans="1:47" ht="13.2" x14ac:dyDescent="0.25">
      <c r="A394" s="9"/>
      <c r="B394" s="9"/>
      <c r="C394" s="9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1:47" ht="13.2" x14ac:dyDescent="0.25">
      <c r="A395" s="9"/>
      <c r="B395" s="9"/>
      <c r="C395" s="9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1:47" ht="13.2" x14ac:dyDescent="0.25">
      <c r="A396" s="9"/>
      <c r="B396" s="9"/>
      <c r="C396" s="9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1:47" ht="13.2" x14ac:dyDescent="0.25">
      <c r="A397" s="9"/>
      <c r="B397" s="9"/>
      <c r="C397" s="9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1:47" ht="13.2" x14ac:dyDescent="0.25">
      <c r="A398" s="9"/>
      <c r="B398" s="9"/>
      <c r="C398" s="9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spans="1:47" ht="13.2" x14ac:dyDescent="0.25">
      <c r="A399" s="9"/>
      <c r="B399" s="9"/>
      <c r="C399" s="9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spans="1:47" ht="13.2" x14ac:dyDescent="0.25">
      <c r="A400" s="9"/>
      <c r="B400" s="9"/>
      <c r="C400" s="9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spans="1:47" ht="13.2" x14ac:dyDescent="0.25">
      <c r="A401" s="9"/>
      <c r="B401" s="9"/>
      <c r="C401" s="9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spans="1:47" ht="13.2" x14ac:dyDescent="0.25">
      <c r="A402" s="9"/>
      <c r="B402" s="9"/>
      <c r="C402" s="9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1:47" ht="13.2" x14ac:dyDescent="0.25">
      <c r="A403" s="9"/>
      <c r="B403" s="9"/>
      <c r="C403" s="9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1:47" ht="13.2" x14ac:dyDescent="0.25">
      <c r="A404" s="9"/>
      <c r="B404" s="9"/>
      <c r="C404" s="9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1:47" ht="13.2" x14ac:dyDescent="0.25">
      <c r="A405" s="9"/>
      <c r="B405" s="9"/>
      <c r="C405" s="9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1:47" ht="13.2" x14ac:dyDescent="0.25">
      <c r="A406" s="9"/>
      <c r="B406" s="9"/>
      <c r="C406" s="9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1:47" ht="13.2" x14ac:dyDescent="0.25">
      <c r="A407" s="9"/>
      <c r="B407" s="9"/>
      <c r="C407" s="9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1:47" ht="13.2" x14ac:dyDescent="0.25">
      <c r="A408" s="9"/>
      <c r="B408" s="9"/>
      <c r="C408" s="9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1:47" ht="13.2" x14ac:dyDescent="0.25">
      <c r="A409" s="9"/>
      <c r="B409" s="9"/>
      <c r="C409" s="9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1:47" ht="13.2" x14ac:dyDescent="0.25">
      <c r="A410" s="9"/>
      <c r="B410" s="9"/>
      <c r="C410" s="9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spans="1:47" ht="13.2" x14ac:dyDescent="0.25">
      <c r="A411" s="9"/>
      <c r="B411" s="9"/>
      <c r="C411" s="9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spans="1:47" ht="13.2" x14ac:dyDescent="0.25">
      <c r="A412" s="9"/>
      <c r="B412" s="9"/>
      <c r="C412" s="9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spans="1:47" ht="13.2" x14ac:dyDescent="0.25">
      <c r="A413" s="9"/>
      <c r="B413" s="9"/>
      <c r="C413" s="9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spans="1:47" ht="13.2" x14ac:dyDescent="0.25">
      <c r="A414" s="9"/>
      <c r="B414" s="9"/>
      <c r="C414" s="9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spans="1:47" ht="13.2" x14ac:dyDescent="0.25">
      <c r="A415" s="9"/>
      <c r="B415" s="9"/>
      <c r="C415" s="9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spans="1:47" ht="13.2" x14ac:dyDescent="0.25">
      <c r="A416" s="9"/>
      <c r="B416" s="9"/>
      <c r="C416" s="9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spans="1:47" ht="13.2" x14ac:dyDescent="0.25">
      <c r="A417" s="9"/>
      <c r="B417" s="9"/>
      <c r="C417" s="9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spans="1:47" ht="13.2" x14ac:dyDescent="0.25">
      <c r="A418" s="9"/>
      <c r="B418" s="9"/>
      <c r="C418" s="9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spans="1:47" ht="13.2" x14ac:dyDescent="0.25">
      <c r="A419" s="9"/>
      <c r="B419" s="9"/>
      <c r="C419" s="9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spans="1:47" ht="13.2" x14ac:dyDescent="0.25">
      <c r="A420" s="9"/>
      <c r="B420" s="9"/>
      <c r="C420" s="9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spans="1:47" ht="13.2" x14ac:dyDescent="0.25">
      <c r="A421" s="9"/>
      <c r="B421" s="9"/>
      <c r="C421" s="9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spans="1:47" ht="13.2" x14ac:dyDescent="0.25">
      <c r="A422" s="9"/>
      <c r="B422" s="9"/>
      <c r="C422" s="9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spans="1:47" ht="13.2" x14ac:dyDescent="0.25">
      <c r="A423" s="9"/>
      <c r="B423" s="9"/>
      <c r="C423" s="9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spans="1:47" ht="13.2" x14ac:dyDescent="0.25">
      <c r="A424" s="9"/>
      <c r="B424" s="9"/>
      <c r="C424" s="9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spans="1:47" ht="13.2" x14ac:dyDescent="0.25">
      <c r="A425" s="9"/>
      <c r="B425" s="9"/>
      <c r="C425" s="9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1:47" ht="13.2" x14ac:dyDescent="0.25">
      <c r="A426" s="9"/>
      <c r="B426" s="9"/>
      <c r="C426" s="9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spans="1:47" ht="13.2" x14ac:dyDescent="0.25">
      <c r="A427" s="9"/>
      <c r="B427" s="9"/>
      <c r="C427" s="9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spans="1:47" ht="13.2" x14ac:dyDescent="0.25">
      <c r="A428" s="9"/>
      <c r="B428" s="9"/>
      <c r="C428" s="9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spans="1:47" ht="13.2" x14ac:dyDescent="0.25">
      <c r="A429" s="9"/>
      <c r="B429" s="9"/>
      <c r="C429" s="9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spans="1:47" ht="13.2" x14ac:dyDescent="0.25">
      <c r="A430" s="9"/>
      <c r="B430" s="9"/>
      <c r="C430" s="9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1:47" ht="13.2" x14ac:dyDescent="0.25">
      <c r="A431" s="9"/>
      <c r="B431" s="9"/>
      <c r="C431" s="9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spans="1:47" ht="13.2" x14ac:dyDescent="0.25">
      <c r="A432" s="9"/>
      <c r="B432" s="9"/>
      <c r="C432" s="9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spans="1:47" ht="13.2" x14ac:dyDescent="0.25">
      <c r="A433" s="9"/>
      <c r="B433" s="9"/>
      <c r="C433" s="9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spans="1:47" ht="13.2" x14ac:dyDescent="0.25">
      <c r="A434" s="9"/>
      <c r="B434" s="9"/>
      <c r="C434" s="9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spans="1:47" ht="13.2" x14ac:dyDescent="0.25">
      <c r="A435" s="9"/>
      <c r="B435" s="9"/>
      <c r="C435" s="9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spans="1:47" ht="13.2" x14ac:dyDescent="0.25">
      <c r="A436" s="9"/>
      <c r="B436" s="9"/>
      <c r="C436" s="9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spans="1:47" ht="13.2" x14ac:dyDescent="0.25">
      <c r="A437" s="9"/>
      <c r="B437" s="9"/>
      <c r="C437" s="9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spans="1:47" ht="13.2" x14ac:dyDescent="0.25">
      <c r="A438" s="9"/>
      <c r="B438" s="9"/>
      <c r="C438" s="9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spans="1:47" ht="13.2" x14ac:dyDescent="0.25">
      <c r="A439" s="9"/>
      <c r="B439" s="9"/>
      <c r="C439" s="9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spans="1:47" ht="13.2" x14ac:dyDescent="0.25">
      <c r="A440" s="9"/>
      <c r="B440" s="9"/>
      <c r="C440" s="9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spans="1:47" ht="13.2" x14ac:dyDescent="0.25">
      <c r="A441" s="9"/>
      <c r="B441" s="9"/>
      <c r="C441" s="9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spans="1:47" ht="13.2" x14ac:dyDescent="0.25">
      <c r="A442" s="9"/>
      <c r="B442" s="9"/>
      <c r="C442" s="9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spans="1:47" ht="13.2" x14ac:dyDescent="0.25">
      <c r="A443" s="9"/>
      <c r="B443" s="9"/>
      <c r="C443" s="9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spans="1:47" ht="13.2" x14ac:dyDescent="0.25">
      <c r="A444" s="9"/>
      <c r="B444" s="9"/>
      <c r="C444" s="9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spans="1:47" ht="13.2" x14ac:dyDescent="0.25">
      <c r="A445" s="9"/>
      <c r="B445" s="9"/>
      <c r="C445" s="9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spans="1:47" ht="13.2" x14ac:dyDescent="0.25">
      <c r="A446" s="9"/>
      <c r="B446" s="9"/>
      <c r="C446" s="9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spans="1:47" ht="13.2" x14ac:dyDescent="0.25">
      <c r="A447" s="9"/>
      <c r="B447" s="9"/>
      <c r="C447" s="9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spans="1:47" ht="13.2" x14ac:dyDescent="0.25">
      <c r="A448" s="9"/>
      <c r="B448" s="9"/>
      <c r="C448" s="9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spans="1:47" ht="13.2" x14ac:dyDescent="0.25">
      <c r="A449" s="9"/>
      <c r="B449" s="9"/>
      <c r="C449" s="9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1:47" ht="13.2" x14ac:dyDescent="0.25">
      <c r="A450" s="9"/>
      <c r="B450" s="9"/>
      <c r="C450" s="9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1:47" ht="13.2" x14ac:dyDescent="0.25">
      <c r="A451" s="9"/>
      <c r="B451" s="9"/>
      <c r="C451" s="9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1:47" ht="13.2" x14ac:dyDescent="0.25">
      <c r="A452" s="9"/>
      <c r="B452" s="9"/>
      <c r="C452" s="9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1:47" ht="13.2" x14ac:dyDescent="0.25">
      <c r="A453" s="9"/>
      <c r="B453" s="9"/>
      <c r="C453" s="9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1:47" ht="13.2" x14ac:dyDescent="0.25">
      <c r="A454" s="9"/>
      <c r="B454" s="9"/>
      <c r="C454" s="9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spans="1:47" ht="13.2" x14ac:dyDescent="0.25">
      <c r="A455" s="9"/>
      <c r="B455" s="9"/>
      <c r="C455" s="9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spans="1:47" ht="13.2" x14ac:dyDescent="0.25">
      <c r="A456" s="9"/>
      <c r="B456" s="9"/>
      <c r="C456" s="9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spans="1:47" ht="13.2" x14ac:dyDescent="0.25">
      <c r="A457" s="9"/>
      <c r="B457" s="9"/>
      <c r="C457" s="9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spans="1:47" ht="13.2" x14ac:dyDescent="0.25">
      <c r="A458" s="9"/>
      <c r="B458" s="9"/>
      <c r="C458" s="9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spans="1:47" ht="13.2" x14ac:dyDescent="0.25">
      <c r="A459" s="9"/>
      <c r="B459" s="9"/>
      <c r="C459" s="9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spans="1:47" ht="13.2" x14ac:dyDescent="0.25">
      <c r="A460" s="9"/>
      <c r="B460" s="9"/>
      <c r="C460" s="9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spans="1:47" ht="13.2" x14ac:dyDescent="0.25">
      <c r="A461" s="9"/>
      <c r="B461" s="9"/>
      <c r="C461" s="9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1:47" ht="13.2" x14ac:dyDescent="0.25">
      <c r="A462" s="9"/>
      <c r="B462" s="9"/>
      <c r="C462" s="9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1:47" ht="13.2" x14ac:dyDescent="0.25">
      <c r="A463" s="9"/>
      <c r="B463" s="9"/>
      <c r="C463" s="9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spans="1:47" ht="13.2" x14ac:dyDescent="0.25">
      <c r="A464" s="9"/>
      <c r="B464" s="9"/>
      <c r="C464" s="9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spans="1:47" ht="13.2" x14ac:dyDescent="0.25">
      <c r="A465" s="9"/>
      <c r="B465" s="9"/>
      <c r="C465" s="9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spans="1:47" ht="13.2" x14ac:dyDescent="0.25">
      <c r="A466" s="9"/>
      <c r="B466" s="9"/>
      <c r="C466" s="9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spans="1:47" ht="13.2" x14ac:dyDescent="0.25">
      <c r="A467" s="9"/>
      <c r="B467" s="9"/>
      <c r="C467" s="9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spans="1:47" ht="13.2" x14ac:dyDescent="0.25">
      <c r="A468" s="9"/>
      <c r="B468" s="9"/>
      <c r="C468" s="9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spans="1:47" ht="13.2" x14ac:dyDescent="0.25">
      <c r="A469" s="9"/>
      <c r="B469" s="9"/>
      <c r="C469" s="9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spans="1:47" ht="13.2" x14ac:dyDescent="0.25">
      <c r="A470" s="9"/>
      <c r="B470" s="9"/>
      <c r="C470" s="9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spans="1:47" ht="13.2" x14ac:dyDescent="0.25">
      <c r="A471" s="9"/>
      <c r="B471" s="9"/>
      <c r="C471" s="9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spans="1:47" ht="13.2" x14ac:dyDescent="0.25">
      <c r="A472" s="9"/>
      <c r="B472" s="9"/>
      <c r="C472" s="9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spans="1:47" ht="13.2" x14ac:dyDescent="0.25">
      <c r="A473" s="9"/>
      <c r="B473" s="9"/>
      <c r="C473" s="9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spans="1:47" ht="13.2" x14ac:dyDescent="0.25">
      <c r="A474" s="9"/>
      <c r="B474" s="9"/>
      <c r="C474" s="9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spans="1:47" ht="13.2" x14ac:dyDescent="0.25">
      <c r="A475" s="9"/>
      <c r="B475" s="9"/>
      <c r="C475" s="9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spans="1:47" ht="13.2" x14ac:dyDescent="0.25">
      <c r="A476" s="9"/>
      <c r="B476" s="9"/>
      <c r="C476" s="9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spans="1:47" ht="13.2" x14ac:dyDescent="0.25">
      <c r="A477" s="9"/>
      <c r="B477" s="9"/>
      <c r="C477" s="9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spans="1:47" ht="13.2" x14ac:dyDescent="0.25">
      <c r="A478" s="9"/>
      <c r="B478" s="9"/>
      <c r="C478" s="9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1:47" ht="13.2" x14ac:dyDescent="0.25">
      <c r="A479" s="9"/>
      <c r="B479" s="9"/>
      <c r="C479" s="9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1:47" ht="13.2" x14ac:dyDescent="0.25">
      <c r="A480" s="9"/>
      <c r="B480" s="9"/>
      <c r="C480" s="9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1:47" ht="13.2" x14ac:dyDescent="0.25">
      <c r="A481" s="9"/>
      <c r="B481" s="9"/>
      <c r="C481" s="9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1:47" ht="13.2" x14ac:dyDescent="0.25">
      <c r="A482" s="9"/>
      <c r="B482" s="9"/>
      <c r="C482" s="9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1:47" ht="13.2" x14ac:dyDescent="0.25">
      <c r="A483" s="9"/>
      <c r="B483" s="9"/>
      <c r="C483" s="9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spans="1:47" ht="13.2" x14ac:dyDescent="0.25">
      <c r="A484" s="9"/>
      <c r="B484" s="9"/>
      <c r="C484" s="9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spans="1:47" ht="13.2" x14ac:dyDescent="0.25">
      <c r="A485" s="9"/>
      <c r="B485" s="9"/>
      <c r="C485" s="9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spans="1:47" ht="13.2" x14ac:dyDescent="0.25">
      <c r="A486" s="9"/>
      <c r="B486" s="9"/>
      <c r="C486" s="9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spans="1:47" ht="13.2" x14ac:dyDescent="0.25">
      <c r="A487" s="9"/>
      <c r="B487" s="9"/>
      <c r="C487" s="9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spans="1:47" ht="13.2" x14ac:dyDescent="0.25">
      <c r="A488" s="9"/>
      <c r="B488" s="9"/>
      <c r="C488" s="9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spans="1:47" ht="13.2" x14ac:dyDescent="0.25">
      <c r="A489" s="9"/>
      <c r="B489" s="9"/>
      <c r="C489" s="9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spans="1:47" ht="13.2" x14ac:dyDescent="0.25">
      <c r="A490" s="9"/>
      <c r="B490" s="9"/>
      <c r="C490" s="9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spans="1:47" ht="13.2" x14ac:dyDescent="0.25">
      <c r="A491" s="9"/>
      <c r="B491" s="9"/>
      <c r="C491" s="9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spans="1:47" ht="13.2" x14ac:dyDescent="0.25">
      <c r="A492" s="9"/>
      <c r="B492" s="9"/>
      <c r="C492" s="9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spans="1:47" ht="13.2" x14ac:dyDescent="0.25">
      <c r="A493" s="9"/>
      <c r="B493" s="9"/>
      <c r="C493" s="9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spans="1:47" ht="13.2" x14ac:dyDescent="0.25">
      <c r="A494" s="9"/>
      <c r="B494" s="9"/>
      <c r="C494" s="9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spans="1:47" ht="13.2" x14ac:dyDescent="0.25">
      <c r="A495" s="9"/>
      <c r="B495" s="9"/>
      <c r="C495" s="9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spans="1:47" ht="13.2" x14ac:dyDescent="0.25">
      <c r="A496" s="9"/>
      <c r="B496" s="9"/>
      <c r="C496" s="9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spans="1:47" ht="13.2" x14ac:dyDescent="0.25">
      <c r="A497" s="9"/>
      <c r="B497" s="9"/>
      <c r="C497" s="9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  <row r="498" spans="1:47" ht="13.2" x14ac:dyDescent="0.25">
      <c r="A498" s="9"/>
      <c r="B498" s="9"/>
      <c r="C498" s="9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</row>
    <row r="499" spans="1:47" ht="13.2" x14ac:dyDescent="0.25">
      <c r="A499" s="9"/>
      <c r="B499" s="9"/>
      <c r="C499" s="9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</row>
    <row r="500" spans="1:47" ht="13.2" x14ac:dyDescent="0.25">
      <c r="A500" s="9"/>
      <c r="B500" s="9"/>
      <c r="C500" s="9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</row>
    <row r="501" spans="1:47" ht="13.2" x14ac:dyDescent="0.25">
      <c r="A501" s="9"/>
      <c r="B501" s="9"/>
      <c r="C501" s="9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</row>
    <row r="502" spans="1:47" ht="13.2" x14ac:dyDescent="0.25">
      <c r="A502" s="9"/>
      <c r="B502" s="9"/>
      <c r="C502" s="9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</row>
    <row r="503" spans="1:47" ht="13.2" x14ac:dyDescent="0.25">
      <c r="A503" s="9"/>
      <c r="B503" s="9"/>
      <c r="C503" s="9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</row>
    <row r="504" spans="1:47" ht="13.2" x14ac:dyDescent="0.25">
      <c r="A504" s="9"/>
      <c r="B504" s="9"/>
      <c r="C504" s="9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</row>
    <row r="505" spans="1:47" ht="13.2" x14ac:dyDescent="0.25">
      <c r="A505" s="9"/>
      <c r="B505" s="9"/>
      <c r="C505" s="9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</row>
    <row r="506" spans="1:47" ht="13.2" x14ac:dyDescent="0.25">
      <c r="A506" s="9"/>
      <c r="B506" s="9"/>
      <c r="C506" s="9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</row>
    <row r="507" spans="1:47" ht="13.2" x14ac:dyDescent="0.25">
      <c r="A507" s="9"/>
      <c r="B507" s="9"/>
      <c r="C507" s="9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</row>
    <row r="508" spans="1:47" ht="13.2" x14ac:dyDescent="0.25">
      <c r="A508" s="9"/>
      <c r="B508" s="9"/>
      <c r="C508" s="9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</row>
    <row r="509" spans="1:47" ht="13.2" x14ac:dyDescent="0.25">
      <c r="A509" s="9"/>
      <c r="B509" s="9"/>
      <c r="C509" s="9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</row>
    <row r="510" spans="1:47" ht="13.2" x14ac:dyDescent="0.25">
      <c r="A510" s="9"/>
      <c r="B510" s="9"/>
      <c r="C510" s="9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</row>
    <row r="511" spans="1:47" ht="13.2" x14ac:dyDescent="0.25">
      <c r="A511" s="9"/>
      <c r="B511" s="9"/>
      <c r="C511" s="9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</row>
    <row r="512" spans="1:47" ht="13.2" x14ac:dyDescent="0.25">
      <c r="A512" s="9"/>
      <c r="B512" s="9"/>
      <c r="C512" s="9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</row>
    <row r="513" spans="1:47" ht="13.2" x14ac:dyDescent="0.25">
      <c r="A513" s="9"/>
      <c r="B513" s="9"/>
      <c r="C513" s="9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</row>
    <row r="514" spans="1:47" ht="13.2" x14ac:dyDescent="0.25">
      <c r="A514" s="9"/>
      <c r="B514" s="9"/>
      <c r="C514" s="9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</row>
    <row r="515" spans="1:47" ht="13.2" x14ac:dyDescent="0.25">
      <c r="A515" s="9"/>
      <c r="B515" s="9"/>
      <c r="C515" s="9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</row>
    <row r="516" spans="1:47" ht="13.2" x14ac:dyDescent="0.25">
      <c r="A516" s="9"/>
      <c r="B516" s="9"/>
      <c r="C516" s="9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</row>
    <row r="517" spans="1:47" ht="13.2" x14ac:dyDescent="0.25">
      <c r="A517" s="9"/>
      <c r="B517" s="9"/>
      <c r="C517" s="9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</row>
    <row r="518" spans="1:47" ht="13.2" x14ac:dyDescent="0.25">
      <c r="A518" s="9"/>
      <c r="B518" s="9"/>
      <c r="C518" s="9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</row>
    <row r="519" spans="1:47" ht="13.2" x14ac:dyDescent="0.25">
      <c r="A519" s="9"/>
      <c r="B519" s="9"/>
      <c r="C519" s="9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</row>
    <row r="520" spans="1:47" ht="13.2" x14ac:dyDescent="0.25">
      <c r="A520" s="9"/>
      <c r="B520" s="9"/>
      <c r="C520" s="9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</row>
    <row r="521" spans="1:47" ht="13.2" x14ac:dyDescent="0.25">
      <c r="A521" s="9"/>
      <c r="B521" s="9"/>
      <c r="C521" s="9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</row>
    <row r="522" spans="1:47" ht="13.2" x14ac:dyDescent="0.25">
      <c r="A522" s="9"/>
      <c r="B522" s="9"/>
      <c r="C522" s="9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</row>
    <row r="523" spans="1:47" ht="13.2" x14ac:dyDescent="0.25">
      <c r="A523" s="9"/>
      <c r="B523" s="9"/>
      <c r="C523" s="9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</row>
    <row r="524" spans="1:47" ht="13.2" x14ac:dyDescent="0.25">
      <c r="A524" s="9"/>
      <c r="B524" s="9"/>
      <c r="C524" s="9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</row>
    <row r="525" spans="1:47" ht="13.2" x14ac:dyDescent="0.25">
      <c r="A525" s="9"/>
      <c r="B525" s="9"/>
      <c r="C525" s="9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</row>
    <row r="526" spans="1:47" ht="13.2" x14ac:dyDescent="0.25">
      <c r="A526" s="9"/>
      <c r="B526" s="9"/>
      <c r="C526" s="9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</row>
    <row r="527" spans="1:47" ht="13.2" x14ac:dyDescent="0.25">
      <c r="A527" s="9"/>
      <c r="B527" s="9"/>
      <c r="C527" s="9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</row>
    <row r="528" spans="1:47" ht="13.2" x14ac:dyDescent="0.25">
      <c r="A528" s="9"/>
      <c r="B528" s="9"/>
      <c r="C528" s="9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</row>
    <row r="529" spans="1:47" ht="13.2" x14ac:dyDescent="0.25">
      <c r="A529" s="9"/>
      <c r="B529" s="9"/>
      <c r="C529" s="9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</row>
    <row r="530" spans="1:47" ht="13.2" x14ac:dyDescent="0.25">
      <c r="A530" s="9"/>
      <c r="B530" s="9"/>
      <c r="C530" s="9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</row>
    <row r="531" spans="1:47" ht="13.2" x14ac:dyDescent="0.25">
      <c r="A531" s="9"/>
      <c r="B531" s="9"/>
      <c r="C531" s="9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</row>
    <row r="532" spans="1:47" ht="13.2" x14ac:dyDescent="0.25">
      <c r="A532" s="9"/>
      <c r="B532" s="9"/>
      <c r="C532" s="9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</row>
    <row r="533" spans="1:47" ht="13.2" x14ac:dyDescent="0.25">
      <c r="A533" s="9"/>
      <c r="B533" s="9"/>
      <c r="C533" s="9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</row>
    <row r="534" spans="1:47" ht="13.2" x14ac:dyDescent="0.25">
      <c r="A534" s="9"/>
      <c r="B534" s="9"/>
      <c r="C534" s="9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</row>
    <row r="535" spans="1:47" ht="13.2" x14ac:dyDescent="0.25">
      <c r="A535" s="9"/>
      <c r="B535" s="9"/>
      <c r="C535" s="9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</row>
    <row r="536" spans="1:47" ht="13.2" x14ac:dyDescent="0.25">
      <c r="A536" s="9"/>
      <c r="B536" s="9"/>
      <c r="C536" s="9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</row>
    <row r="537" spans="1:47" ht="13.2" x14ac:dyDescent="0.25">
      <c r="A537" s="9"/>
      <c r="B537" s="9"/>
      <c r="C537" s="9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</row>
    <row r="538" spans="1:47" ht="13.2" x14ac:dyDescent="0.25">
      <c r="A538" s="9"/>
      <c r="B538" s="9"/>
      <c r="C538" s="9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</row>
    <row r="539" spans="1:47" ht="13.2" x14ac:dyDescent="0.25">
      <c r="A539" s="9"/>
      <c r="B539" s="9"/>
      <c r="C539" s="9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</row>
    <row r="540" spans="1:47" ht="13.2" x14ac:dyDescent="0.25">
      <c r="A540" s="9"/>
      <c r="B540" s="9"/>
      <c r="C540" s="9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</row>
    <row r="541" spans="1:47" ht="13.2" x14ac:dyDescent="0.25">
      <c r="A541" s="9"/>
      <c r="B541" s="9"/>
      <c r="C541" s="9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</row>
    <row r="542" spans="1:47" ht="13.2" x14ac:dyDescent="0.25">
      <c r="A542" s="9"/>
      <c r="B542" s="9"/>
      <c r="C542" s="9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</row>
    <row r="543" spans="1:47" ht="13.2" x14ac:dyDescent="0.25">
      <c r="A543" s="9"/>
      <c r="B543" s="9"/>
      <c r="C543" s="9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</row>
    <row r="544" spans="1:47" ht="13.2" x14ac:dyDescent="0.25">
      <c r="A544" s="9"/>
      <c r="B544" s="9"/>
      <c r="C544" s="9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</row>
    <row r="545" spans="1:47" ht="13.2" x14ac:dyDescent="0.25">
      <c r="A545" s="9"/>
      <c r="B545" s="9"/>
      <c r="C545" s="9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</row>
    <row r="546" spans="1:47" ht="13.2" x14ac:dyDescent="0.25">
      <c r="A546" s="9"/>
      <c r="B546" s="9"/>
      <c r="C546" s="9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</row>
    <row r="547" spans="1:47" ht="13.2" x14ac:dyDescent="0.25">
      <c r="A547" s="9"/>
      <c r="B547" s="9"/>
      <c r="C547" s="9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</row>
    <row r="548" spans="1:47" ht="13.2" x14ac:dyDescent="0.25">
      <c r="A548" s="9"/>
      <c r="B548" s="9"/>
      <c r="C548" s="9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</row>
    <row r="549" spans="1:47" ht="13.2" x14ac:dyDescent="0.25">
      <c r="A549" s="9"/>
      <c r="B549" s="9"/>
      <c r="C549" s="9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</row>
    <row r="550" spans="1:47" ht="13.2" x14ac:dyDescent="0.25">
      <c r="A550" s="9"/>
      <c r="B550" s="9"/>
      <c r="C550" s="9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</row>
    <row r="551" spans="1:47" ht="13.2" x14ac:dyDescent="0.25">
      <c r="A551" s="9"/>
      <c r="B551" s="9"/>
      <c r="C551" s="9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</row>
    <row r="552" spans="1:47" ht="13.2" x14ac:dyDescent="0.25">
      <c r="A552" s="9"/>
      <c r="B552" s="9"/>
      <c r="C552" s="9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</row>
    <row r="553" spans="1:47" ht="13.2" x14ac:dyDescent="0.25">
      <c r="A553" s="9"/>
      <c r="B553" s="9"/>
      <c r="C553" s="9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</row>
    <row r="554" spans="1:47" ht="13.2" x14ac:dyDescent="0.25">
      <c r="A554" s="9"/>
      <c r="B554" s="9"/>
      <c r="C554" s="9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</row>
    <row r="555" spans="1:47" ht="13.2" x14ac:dyDescent="0.25">
      <c r="A555" s="9"/>
      <c r="B555" s="9"/>
      <c r="C555" s="9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</row>
    <row r="556" spans="1:47" ht="13.2" x14ac:dyDescent="0.25">
      <c r="A556" s="9"/>
      <c r="B556" s="9"/>
      <c r="C556" s="9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</row>
    <row r="557" spans="1:47" ht="13.2" x14ac:dyDescent="0.25">
      <c r="A557" s="9"/>
      <c r="B557" s="9"/>
      <c r="C557" s="9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</row>
    <row r="558" spans="1:47" ht="13.2" x14ac:dyDescent="0.25">
      <c r="A558" s="9"/>
      <c r="B558" s="9"/>
      <c r="C558" s="9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</row>
    <row r="559" spans="1:47" ht="13.2" x14ac:dyDescent="0.25">
      <c r="A559" s="9"/>
      <c r="B559" s="9"/>
      <c r="C559" s="9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</row>
    <row r="560" spans="1:47" ht="13.2" x14ac:dyDescent="0.25">
      <c r="A560" s="9"/>
      <c r="B560" s="9"/>
      <c r="C560" s="9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</row>
    <row r="561" spans="1:47" ht="13.2" x14ac:dyDescent="0.25">
      <c r="A561" s="9"/>
      <c r="B561" s="9"/>
      <c r="C561" s="9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</row>
    <row r="562" spans="1:47" ht="13.2" x14ac:dyDescent="0.25">
      <c r="A562" s="9"/>
      <c r="B562" s="9"/>
      <c r="C562" s="9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</row>
    <row r="563" spans="1:47" ht="13.2" x14ac:dyDescent="0.25">
      <c r="A563" s="9"/>
      <c r="B563" s="9"/>
      <c r="C563" s="9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</row>
    <row r="564" spans="1:47" ht="13.2" x14ac:dyDescent="0.25">
      <c r="A564" s="9"/>
      <c r="B564" s="9"/>
      <c r="C564" s="9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</row>
    <row r="565" spans="1:47" ht="13.2" x14ac:dyDescent="0.25">
      <c r="A565" s="9"/>
      <c r="B565" s="9"/>
      <c r="C565" s="9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</row>
    <row r="566" spans="1:47" ht="13.2" x14ac:dyDescent="0.25">
      <c r="A566" s="9"/>
      <c r="B566" s="9"/>
      <c r="C566" s="9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</row>
    <row r="567" spans="1:47" ht="13.2" x14ac:dyDescent="0.25">
      <c r="A567" s="9"/>
      <c r="B567" s="9"/>
      <c r="C567" s="9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</row>
    <row r="568" spans="1:47" ht="13.2" x14ac:dyDescent="0.25">
      <c r="A568" s="9"/>
      <c r="B568" s="9"/>
      <c r="C568" s="9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</row>
    <row r="569" spans="1:47" ht="13.2" x14ac:dyDescent="0.25">
      <c r="A569" s="9"/>
      <c r="B569" s="9"/>
      <c r="C569" s="9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</row>
    <row r="570" spans="1:47" ht="13.2" x14ac:dyDescent="0.25">
      <c r="A570" s="9"/>
      <c r="B570" s="9"/>
      <c r="C570" s="9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</row>
    <row r="571" spans="1:47" ht="13.2" x14ac:dyDescent="0.25">
      <c r="A571" s="9"/>
      <c r="B571" s="9"/>
      <c r="C571" s="9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</row>
    <row r="572" spans="1:47" ht="13.2" x14ac:dyDescent="0.25">
      <c r="A572" s="9"/>
      <c r="B572" s="9"/>
      <c r="C572" s="9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</row>
    <row r="573" spans="1:47" ht="13.2" x14ac:dyDescent="0.25">
      <c r="A573" s="9"/>
      <c r="B573" s="9"/>
      <c r="C573" s="9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</row>
    <row r="574" spans="1:47" ht="13.2" x14ac:dyDescent="0.25">
      <c r="A574" s="9"/>
      <c r="B574" s="9"/>
      <c r="C574" s="9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</row>
    <row r="575" spans="1:47" ht="13.2" x14ac:dyDescent="0.25">
      <c r="A575" s="9"/>
      <c r="B575" s="9"/>
      <c r="C575" s="9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</row>
    <row r="576" spans="1:47" ht="13.2" x14ac:dyDescent="0.25">
      <c r="A576" s="9"/>
      <c r="B576" s="9"/>
      <c r="C576" s="9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</row>
    <row r="577" spans="1:47" ht="13.2" x14ac:dyDescent="0.25">
      <c r="A577" s="9"/>
      <c r="B577" s="9"/>
      <c r="C577" s="9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</row>
    <row r="578" spans="1:47" ht="13.2" x14ac:dyDescent="0.25">
      <c r="A578" s="9"/>
      <c r="B578" s="9"/>
      <c r="C578" s="9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</row>
    <row r="579" spans="1:47" ht="13.2" x14ac:dyDescent="0.25">
      <c r="A579" s="9"/>
      <c r="B579" s="9"/>
      <c r="C579" s="9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</row>
    <row r="580" spans="1:47" ht="13.2" x14ac:dyDescent="0.25">
      <c r="A580" s="9"/>
      <c r="B580" s="9"/>
      <c r="C580" s="9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</row>
    <row r="581" spans="1:47" ht="13.2" x14ac:dyDescent="0.25">
      <c r="A581" s="9"/>
      <c r="B581" s="9"/>
      <c r="C581" s="9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</row>
    <row r="582" spans="1:47" ht="13.2" x14ac:dyDescent="0.25">
      <c r="A582" s="9"/>
      <c r="B582" s="9"/>
      <c r="C582" s="9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</row>
    <row r="583" spans="1:47" ht="13.2" x14ac:dyDescent="0.25">
      <c r="A583" s="9"/>
      <c r="B583" s="9"/>
      <c r="C583" s="9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</row>
    <row r="584" spans="1:47" ht="13.2" x14ac:dyDescent="0.25">
      <c r="A584" s="9"/>
      <c r="B584" s="9"/>
      <c r="C584" s="9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</row>
    <row r="585" spans="1:47" ht="13.2" x14ac:dyDescent="0.25">
      <c r="A585" s="9"/>
      <c r="B585" s="9"/>
      <c r="C585" s="9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</row>
    <row r="586" spans="1:47" ht="13.2" x14ac:dyDescent="0.25">
      <c r="A586" s="9"/>
      <c r="B586" s="9"/>
      <c r="C586" s="9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</row>
    <row r="587" spans="1:47" ht="13.2" x14ac:dyDescent="0.25">
      <c r="A587" s="9"/>
      <c r="B587" s="9"/>
      <c r="C587" s="9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</row>
    <row r="588" spans="1:47" ht="13.2" x14ac:dyDescent="0.25">
      <c r="A588" s="9"/>
      <c r="B588" s="9"/>
      <c r="C588" s="9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</row>
    <row r="589" spans="1:47" ht="13.2" x14ac:dyDescent="0.25">
      <c r="A589" s="9"/>
      <c r="B589" s="9"/>
      <c r="C589" s="9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</row>
    <row r="590" spans="1:47" ht="13.2" x14ac:dyDescent="0.25">
      <c r="A590" s="9"/>
      <c r="B590" s="9"/>
      <c r="C590" s="9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</row>
    <row r="591" spans="1:47" ht="13.2" x14ac:dyDescent="0.25">
      <c r="A591" s="9"/>
      <c r="B591" s="9"/>
      <c r="C591" s="9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</row>
    <row r="592" spans="1:47" ht="13.2" x14ac:dyDescent="0.25">
      <c r="A592" s="9"/>
      <c r="B592" s="9"/>
      <c r="C592" s="9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</row>
    <row r="593" spans="1:47" ht="13.2" x14ac:dyDescent="0.25">
      <c r="A593" s="9"/>
      <c r="B593" s="9"/>
      <c r="C593" s="9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</row>
    <row r="594" spans="1:47" ht="13.2" x14ac:dyDescent="0.25">
      <c r="A594" s="9"/>
      <c r="B594" s="9"/>
      <c r="C594" s="9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</row>
    <row r="595" spans="1:47" ht="13.2" x14ac:dyDescent="0.25">
      <c r="A595" s="9"/>
      <c r="B595" s="9"/>
      <c r="C595" s="9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</row>
    <row r="596" spans="1:47" ht="13.2" x14ac:dyDescent="0.25">
      <c r="A596" s="9"/>
      <c r="B596" s="9"/>
      <c r="C596" s="9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</row>
    <row r="597" spans="1:47" ht="13.2" x14ac:dyDescent="0.25">
      <c r="A597" s="9"/>
      <c r="B597" s="9"/>
      <c r="C597" s="9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</row>
    <row r="598" spans="1:47" ht="13.2" x14ac:dyDescent="0.25">
      <c r="A598" s="9"/>
      <c r="B598" s="9"/>
      <c r="C598" s="9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</row>
    <row r="599" spans="1:47" ht="13.2" x14ac:dyDescent="0.25">
      <c r="A599" s="9"/>
      <c r="B599" s="9"/>
      <c r="C599" s="9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</row>
    <row r="600" spans="1:47" ht="13.2" x14ac:dyDescent="0.25">
      <c r="A600" s="9"/>
      <c r="B600" s="9"/>
      <c r="C600" s="9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</row>
    <row r="601" spans="1:47" ht="13.2" x14ac:dyDescent="0.25">
      <c r="A601" s="9"/>
      <c r="B601" s="9"/>
      <c r="C601" s="9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</row>
    <row r="602" spans="1:47" ht="13.2" x14ac:dyDescent="0.25">
      <c r="A602" s="9"/>
      <c r="B602" s="9"/>
      <c r="C602" s="9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</row>
    <row r="603" spans="1:47" ht="13.2" x14ac:dyDescent="0.25">
      <c r="A603" s="9"/>
      <c r="B603" s="9"/>
      <c r="C603" s="9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</row>
    <row r="604" spans="1:47" ht="13.2" x14ac:dyDescent="0.25">
      <c r="A604" s="9"/>
      <c r="B604" s="9"/>
      <c r="C604" s="9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</row>
    <row r="605" spans="1:47" ht="13.2" x14ac:dyDescent="0.25">
      <c r="A605" s="9"/>
      <c r="B605" s="9"/>
      <c r="C605" s="9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</row>
    <row r="606" spans="1:47" ht="13.2" x14ac:dyDescent="0.25">
      <c r="A606" s="9"/>
      <c r="B606" s="9"/>
      <c r="C606" s="9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</row>
    <row r="607" spans="1:47" ht="13.2" x14ac:dyDescent="0.25">
      <c r="A607" s="9"/>
      <c r="B607" s="9"/>
      <c r="C607" s="9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</row>
    <row r="608" spans="1:47" ht="13.2" x14ac:dyDescent="0.25">
      <c r="A608" s="9"/>
      <c r="B608" s="9"/>
      <c r="C608" s="9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</row>
    <row r="609" spans="1:47" ht="13.2" x14ac:dyDescent="0.25">
      <c r="A609" s="9"/>
      <c r="B609" s="9"/>
      <c r="C609" s="9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</row>
    <row r="610" spans="1:47" ht="13.2" x14ac:dyDescent="0.25">
      <c r="A610" s="9"/>
      <c r="B610" s="9"/>
      <c r="C610" s="9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</row>
    <row r="611" spans="1:47" ht="13.2" x14ac:dyDescent="0.25">
      <c r="A611" s="9"/>
      <c r="B611" s="9"/>
      <c r="C611" s="9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</row>
    <row r="612" spans="1:47" ht="13.2" x14ac:dyDescent="0.25">
      <c r="A612" s="9"/>
      <c r="B612" s="9"/>
      <c r="C612" s="9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</row>
    <row r="613" spans="1:47" ht="13.2" x14ac:dyDescent="0.25">
      <c r="A613" s="9"/>
      <c r="B613" s="9"/>
      <c r="C613" s="9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</row>
    <row r="614" spans="1:47" ht="13.2" x14ac:dyDescent="0.25">
      <c r="A614" s="9"/>
      <c r="B614" s="9"/>
      <c r="C614" s="9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</row>
    <row r="615" spans="1:47" ht="13.2" x14ac:dyDescent="0.25">
      <c r="A615" s="9"/>
      <c r="B615" s="9"/>
      <c r="C615" s="9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</row>
    <row r="616" spans="1:47" ht="13.2" x14ac:dyDescent="0.25">
      <c r="A616" s="9"/>
      <c r="B616" s="9"/>
      <c r="C616" s="9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</row>
    <row r="617" spans="1:47" ht="13.2" x14ac:dyDescent="0.25">
      <c r="A617" s="9"/>
      <c r="B617" s="9"/>
      <c r="C617" s="9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</row>
    <row r="618" spans="1:47" ht="13.2" x14ac:dyDescent="0.25">
      <c r="A618" s="9"/>
      <c r="B618" s="9"/>
      <c r="C618" s="9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</row>
    <row r="619" spans="1:47" ht="13.2" x14ac:dyDescent="0.25">
      <c r="A619" s="9"/>
      <c r="B619" s="9"/>
      <c r="C619" s="9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</row>
    <row r="620" spans="1:47" ht="13.2" x14ac:dyDescent="0.25">
      <c r="A620" s="9"/>
      <c r="B620" s="9"/>
      <c r="C620" s="9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</row>
    <row r="621" spans="1:47" ht="13.2" x14ac:dyDescent="0.25">
      <c r="A621" s="9"/>
      <c r="B621" s="9"/>
      <c r="C621" s="9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</row>
    <row r="622" spans="1:47" ht="13.2" x14ac:dyDescent="0.25">
      <c r="A622" s="9"/>
      <c r="B622" s="9"/>
      <c r="C622" s="9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</row>
    <row r="623" spans="1:47" ht="13.2" x14ac:dyDescent="0.25">
      <c r="A623" s="9"/>
      <c r="B623" s="9"/>
      <c r="C623" s="9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</row>
    <row r="624" spans="1:47" ht="13.2" x14ac:dyDescent="0.25">
      <c r="A624" s="9"/>
      <c r="B624" s="9"/>
      <c r="C624" s="9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</row>
    <row r="625" spans="1:47" ht="13.2" x14ac:dyDescent="0.25">
      <c r="A625" s="9"/>
      <c r="B625" s="9"/>
      <c r="C625" s="9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</row>
    <row r="626" spans="1:47" ht="13.2" x14ac:dyDescent="0.25">
      <c r="A626" s="9"/>
      <c r="B626" s="9"/>
      <c r="C626" s="9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</row>
    <row r="627" spans="1:47" ht="13.2" x14ac:dyDescent="0.25">
      <c r="A627" s="9"/>
      <c r="B627" s="9"/>
      <c r="C627" s="9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</row>
    <row r="628" spans="1:47" ht="13.2" x14ac:dyDescent="0.25">
      <c r="A628" s="9"/>
      <c r="B628" s="9"/>
      <c r="C628" s="9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</row>
    <row r="629" spans="1:47" ht="13.2" x14ac:dyDescent="0.25">
      <c r="A629" s="9"/>
      <c r="B629" s="9"/>
      <c r="C629" s="9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</row>
    <row r="630" spans="1:47" ht="13.2" x14ac:dyDescent="0.25">
      <c r="A630" s="9"/>
      <c r="B630" s="9"/>
      <c r="C630" s="9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</row>
    <row r="631" spans="1:47" ht="13.2" x14ac:dyDescent="0.25">
      <c r="A631" s="9"/>
      <c r="B631" s="9"/>
      <c r="C631" s="9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</row>
    <row r="632" spans="1:47" ht="13.2" x14ac:dyDescent="0.25">
      <c r="A632" s="9"/>
      <c r="B632" s="9"/>
      <c r="C632" s="9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</row>
    <row r="633" spans="1:47" ht="13.2" x14ac:dyDescent="0.25">
      <c r="A633" s="9"/>
      <c r="B633" s="9"/>
      <c r="C633" s="9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</row>
    <row r="634" spans="1:47" ht="13.2" x14ac:dyDescent="0.25">
      <c r="A634" s="9"/>
      <c r="B634" s="9"/>
      <c r="C634" s="9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</row>
    <row r="635" spans="1:47" ht="13.2" x14ac:dyDescent="0.25">
      <c r="A635" s="9"/>
      <c r="B635" s="9"/>
      <c r="C635" s="9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</row>
    <row r="636" spans="1:47" ht="13.2" x14ac:dyDescent="0.25">
      <c r="A636" s="9"/>
      <c r="B636" s="9"/>
      <c r="C636" s="9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</row>
    <row r="637" spans="1:47" ht="13.2" x14ac:dyDescent="0.25">
      <c r="A637" s="9"/>
      <c r="B637" s="9"/>
      <c r="C637" s="9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</row>
    <row r="638" spans="1:47" ht="13.2" x14ac:dyDescent="0.25">
      <c r="A638" s="9"/>
      <c r="B638" s="9"/>
      <c r="C638" s="9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</row>
    <row r="639" spans="1:47" ht="13.2" x14ac:dyDescent="0.25">
      <c r="A639" s="9"/>
      <c r="B639" s="9"/>
      <c r="C639" s="9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</row>
    <row r="640" spans="1:47" ht="13.2" x14ac:dyDescent="0.25">
      <c r="A640" s="9"/>
      <c r="B640" s="9"/>
      <c r="C640" s="9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</row>
    <row r="641" spans="1:47" ht="13.2" x14ac:dyDescent="0.25">
      <c r="A641" s="9"/>
      <c r="B641" s="9"/>
      <c r="C641" s="9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</row>
    <row r="642" spans="1:47" ht="13.2" x14ac:dyDescent="0.25">
      <c r="A642" s="9"/>
      <c r="B642" s="9"/>
      <c r="C642" s="9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</row>
    <row r="643" spans="1:47" ht="13.2" x14ac:dyDescent="0.25">
      <c r="A643" s="9"/>
      <c r="B643" s="9"/>
      <c r="C643" s="9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</row>
    <row r="644" spans="1:47" ht="13.2" x14ac:dyDescent="0.25">
      <c r="A644" s="9"/>
      <c r="B644" s="9"/>
      <c r="C644" s="9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</row>
    <row r="645" spans="1:47" ht="13.2" x14ac:dyDescent="0.25">
      <c r="A645" s="9"/>
      <c r="B645" s="9"/>
      <c r="C645" s="9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</row>
    <row r="646" spans="1:47" ht="13.2" x14ac:dyDescent="0.25">
      <c r="A646" s="9"/>
      <c r="B646" s="9"/>
      <c r="C646" s="9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</row>
    <row r="647" spans="1:47" ht="13.2" x14ac:dyDescent="0.25">
      <c r="A647" s="9"/>
      <c r="B647" s="9"/>
      <c r="C647" s="9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</row>
    <row r="648" spans="1:47" ht="13.2" x14ac:dyDescent="0.25">
      <c r="A648" s="9"/>
      <c r="B648" s="9"/>
      <c r="C648" s="9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</row>
    <row r="649" spans="1:47" ht="13.2" x14ac:dyDescent="0.25">
      <c r="A649" s="9"/>
      <c r="B649" s="9"/>
      <c r="C649" s="9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</row>
    <row r="650" spans="1:47" ht="13.2" x14ac:dyDescent="0.25">
      <c r="A650" s="9"/>
      <c r="B650" s="9"/>
      <c r="C650" s="9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</row>
    <row r="651" spans="1:47" ht="13.2" x14ac:dyDescent="0.25">
      <c r="A651" s="9"/>
      <c r="B651" s="9"/>
      <c r="C651" s="9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</row>
    <row r="652" spans="1:47" ht="13.2" x14ac:dyDescent="0.25">
      <c r="A652" s="9"/>
      <c r="B652" s="9"/>
      <c r="C652" s="9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</row>
    <row r="653" spans="1:47" ht="13.2" x14ac:dyDescent="0.25">
      <c r="A653" s="9"/>
      <c r="B653" s="9"/>
      <c r="C653" s="9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</row>
    <row r="654" spans="1:47" ht="13.2" x14ac:dyDescent="0.25">
      <c r="A654" s="9"/>
      <c r="B654" s="9"/>
      <c r="C654" s="9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</row>
    <row r="655" spans="1:47" ht="13.2" x14ac:dyDescent="0.25">
      <c r="A655" s="9"/>
      <c r="B655" s="9"/>
      <c r="C655" s="9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</row>
    <row r="656" spans="1:47" ht="13.2" x14ac:dyDescent="0.25">
      <c r="A656" s="9"/>
      <c r="B656" s="9"/>
      <c r="C656" s="9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</row>
    <row r="657" spans="1:47" ht="13.2" x14ac:dyDescent="0.25">
      <c r="A657" s="9"/>
      <c r="B657" s="9"/>
      <c r="C657" s="9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</row>
    <row r="658" spans="1:47" ht="13.2" x14ac:dyDescent="0.25">
      <c r="A658" s="9"/>
      <c r="B658" s="9"/>
      <c r="C658" s="9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</row>
    <row r="659" spans="1:47" ht="13.2" x14ac:dyDescent="0.25">
      <c r="A659" s="9"/>
      <c r="B659" s="9"/>
      <c r="C659" s="9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</row>
    <row r="660" spans="1:47" ht="13.2" x14ac:dyDescent="0.25">
      <c r="A660" s="9"/>
      <c r="B660" s="9"/>
      <c r="C660" s="9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</row>
    <row r="661" spans="1:47" ht="13.2" x14ac:dyDescent="0.25">
      <c r="A661" s="9"/>
      <c r="B661" s="9"/>
      <c r="C661" s="9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</row>
    <row r="662" spans="1:47" ht="13.2" x14ac:dyDescent="0.25">
      <c r="A662" s="9"/>
      <c r="B662" s="9"/>
      <c r="C662" s="9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</row>
    <row r="663" spans="1:47" ht="13.2" x14ac:dyDescent="0.25">
      <c r="A663" s="9"/>
      <c r="B663" s="9"/>
      <c r="C663" s="9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</row>
    <row r="664" spans="1:47" ht="13.2" x14ac:dyDescent="0.25">
      <c r="A664" s="9"/>
      <c r="B664" s="9"/>
      <c r="C664" s="9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</row>
    <row r="665" spans="1:47" ht="13.2" x14ac:dyDescent="0.25">
      <c r="A665" s="9"/>
      <c r="B665" s="9"/>
      <c r="C665" s="9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</row>
    <row r="666" spans="1:47" ht="13.2" x14ac:dyDescent="0.25">
      <c r="A666" s="9"/>
      <c r="B666" s="9"/>
      <c r="C666" s="9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</row>
    <row r="667" spans="1:47" ht="13.2" x14ac:dyDescent="0.25">
      <c r="A667" s="9"/>
      <c r="B667" s="9"/>
      <c r="C667" s="9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</row>
    <row r="668" spans="1:47" ht="13.2" x14ac:dyDescent="0.25">
      <c r="A668" s="9"/>
      <c r="B668" s="9"/>
      <c r="C668" s="9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</row>
    <row r="669" spans="1:47" ht="13.2" x14ac:dyDescent="0.25">
      <c r="A669" s="9"/>
      <c r="B669" s="9"/>
      <c r="C669" s="9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</row>
    <row r="670" spans="1:47" ht="13.2" x14ac:dyDescent="0.25">
      <c r="A670" s="9"/>
      <c r="B670" s="9"/>
      <c r="C670" s="9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</row>
    <row r="671" spans="1:47" ht="13.2" x14ac:dyDescent="0.25">
      <c r="A671" s="9"/>
      <c r="B671" s="9"/>
      <c r="C671" s="9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</row>
    <row r="672" spans="1:47" ht="13.2" x14ac:dyDescent="0.25">
      <c r="A672" s="9"/>
      <c r="B672" s="9"/>
      <c r="C672" s="9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</row>
    <row r="673" spans="1:47" ht="13.2" x14ac:dyDescent="0.25">
      <c r="A673" s="9"/>
      <c r="B673" s="9"/>
      <c r="C673" s="9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</row>
    <row r="674" spans="1:47" ht="13.2" x14ac:dyDescent="0.25">
      <c r="A674" s="9"/>
      <c r="B674" s="9"/>
      <c r="C674" s="9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</row>
    <row r="675" spans="1:47" ht="13.2" x14ac:dyDescent="0.25">
      <c r="A675" s="9"/>
      <c r="B675" s="9"/>
      <c r="C675" s="9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</row>
    <row r="676" spans="1:47" ht="13.2" x14ac:dyDescent="0.25">
      <c r="A676" s="9"/>
      <c r="B676" s="9"/>
      <c r="C676" s="9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</row>
    <row r="677" spans="1:47" ht="13.2" x14ac:dyDescent="0.25">
      <c r="A677" s="9"/>
      <c r="B677" s="9"/>
      <c r="C677" s="9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</row>
    <row r="678" spans="1:47" ht="13.2" x14ac:dyDescent="0.25">
      <c r="A678" s="9"/>
      <c r="B678" s="9"/>
      <c r="C678" s="9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</row>
    <row r="679" spans="1:47" ht="13.2" x14ac:dyDescent="0.25">
      <c r="A679" s="9"/>
      <c r="B679" s="9"/>
      <c r="C679" s="9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</row>
    <row r="680" spans="1:47" ht="13.2" x14ac:dyDescent="0.25">
      <c r="A680" s="9"/>
      <c r="B680" s="9"/>
      <c r="C680" s="9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</row>
    <row r="681" spans="1:47" ht="13.2" x14ac:dyDescent="0.25">
      <c r="A681" s="9"/>
      <c r="B681" s="9"/>
      <c r="C681" s="9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</row>
    <row r="682" spans="1:47" ht="13.2" x14ac:dyDescent="0.25">
      <c r="A682" s="9"/>
      <c r="B682" s="9"/>
      <c r="C682" s="9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</row>
    <row r="683" spans="1:47" ht="13.2" x14ac:dyDescent="0.25">
      <c r="A683" s="9"/>
      <c r="B683" s="9"/>
      <c r="C683" s="9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</row>
    <row r="684" spans="1:47" ht="13.2" x14ac:dyDescent="0.25">
      <c r="A684" s="9"/>
      <c r="B684" s="9"/>
      <c r="C684" s="9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</row>
    <row r="685" spans="1:47" ht="13.2" x14ac:dyDescent="0.25">
      <c r="A685" s="9"/>
      <c r="B685" s="9"/>
      <c r="C685" s="9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</row>
    <row r="686" spans="1:47" ht="13.2" x14ac:dyDescent="0.25">
      <c r="A686" s="9"/>
      <c r="B686" s="9"/>
      <c r="C686" s="9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</row>
    <row r="687" spans="1:47" ht="13.2" x14ac:dyDescent="0.25">
      <c r="A687" s="9"/>
      <c r="B687" s="9"/>
      <c r="C687" s="9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</row>
    <row r="688" spans="1:47" ht="13.2" x14ac:dyDescent="0.25">
      <c r="A688" s="9"/>
      <c r="B688" s="9"/>
      <c r="C688" s="9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</row>
    <row r="689" spans="1:47" ht="13.2" x14ac:dyDescent="0.25">
      <c r="A689" s="9"/>
      <c r="B689" s="9"/>
      <c r="C689" s="9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</row>
    <row r="690" spans="1:47" ht="13.2" x14ac:dyDescent="0.25">
      <c r="A690" s="9"/>
      <c r="B690" s="9"/>
      <c r="C690" s="9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</row>
    <row r="691" spans="1:47" ht="13.2" x14ac:dyDescent="0.25">
      <c r="A691" s="9"/>
      <c r="B691" s="9"/>
      <c r="C691" s="9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</row>
    <row r="692" spans="1:47" ht="13.2" x14ac:dyDescent="0.25">
      <c r="A692" s="9"/>
      <c r="B692" s="9"/>
      <c r="C692" s="9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</row>
    <row r="693" spans="1:47" ht="13.2" x14ac:dyDescent="0.25">
      <c r="A693" s="9"/>
      <c r="B693" s="9"/>
      <c r="C693" s="9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</row>
    <row r="694" spans="1:47" ht="13.2" x14ac:dyDescent="0.25">
      <c r="A694" s="9"/>
      <c r="B694" s="9"/>
      <c r="C694" s="9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</row>
    <row r="695" spans="1:47" ht="13.2" x14ac:dyDescent="0.25">
      <c r="A695" s="9"/>
      <c r="B695" s="9"/>
      <c r="C695" s="9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</row>
    <row r="696" spans="1:47" ht="13.2" x14ac:dyDescent="0.25">
      <c r="A696" s="9"/>
      <c r="B696" s="9"/>
      <c r="C696" s="9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</row>
    <row r="697" spans="1:47" ht="13.2" x14ac:dyDescent="0.25">
      <c r="A697" s="9"/>
      <c r="B697" s="9"/>
      <c r="C697" s="9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</row>
    <row r="698" spans="1:47" ht="13.2" x14ac:dyDescent="0.25">
      <c r="A698" s="9"/>
      <c r="B698" s="9"/>
      <c r="C698" s="9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</row>
    <row r="699" spans="1:47" ht="13.2" x14ac:dyDescent="0.25">
      <c r="A699" s="9"/>
      <c r="B699" s="9"/>
      <c r="C699" s="9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</row>
    <row r="700" spans="1:47" ht="13.2" x14ac:dyDescent="0.25">
      <c r="A700" s="9"/>
      <c r="B700" s="9"/>
      <c r="C700" s="9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</row>
    <row r="701" spans="1:47" ht="13.2" x14ac:dyDescent="0.25">
      <c r="A701" s="9"/>
      <c r="B701" s="9"/>
      <c r="C701" s="9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</row>
    <row r="702" spans="1:47" ht="13.2" x14ac:dyDescent="0.25">
      <c r="A702" s="9"/>
      <c r="B702" s="9"/>
      <c r="C702" s="9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</row>
    <row r="703" spans="1:47" ht="13.2" x14ac:dyDescent="0.25">
      <c r="A703" s="9"/>
      <c r="B703" s="9"/>
      <c r="C703" s="9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</row>
    <row r="704" spans="1:47" ht="13.2" x14ac:dyDescent="0.25">
      <c r="A704" s="9"/>
      <c r="B704" s="9"/>
      <c r="C704" s="9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</row>
    <row r="705" spans="1:47" ht="13.2" x14ac:dyDescent="0.25">
      <c r="A705" s="9"/>
      <c r="B705" s="9"/>
      <c r="C705" s="9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</row>
    <row r="706" spans="1:47" ht="13.2" x14ac:dyDescent="0.25">
      <c r="A706" s="9"/>
      <c r="B706" s="9"/>
      <c r="C706" s="9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</row>
    <row r="707" spans="1:47" ht="13.2" x14ac:dyDescent="0.25">
      <c r="A707" s="9"/>
      <c r="B707" s="9"/>
      <c r="C707" s="9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</row>
    <row r="708" spans="1:47" ht="13.2" x14ac:dyDescent="0.25">
      <c r="A708" s="9"/>
      <c r="B708" s="9"/>
      <c r="C708" s="9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</row>
    <row r="709" spans="1:47" ht="13.2" x14ac:dyDescent="0.25">
      <c r="A709" s="9"/>
      <c r="B709" s="9"/>
      <c r="C709" s="9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</row>
    <row r="710" spans="1:47" ht="13.2" x14ac:dyDescent="0.25">
      <c r="A710" s="9"/>
      <c r="B710" s="9"/>
      <c r="C710" s="9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</row>
    <row r="711" spans="1:47" ht="13.2" x14ac:dyDescent="0.25">
      <c r="A711" s="9"/>
      <c r="B711" s="9"/>
      <c r="C711" s="9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</row>
    <row r="712" spans="1:47" ht="13.2" x14ac:dyDescent="0.25">
      <c r="A712" s="9"/>
      <c r="B712" s="9"/>
      <c r="C712" s="9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</row>
    <row r="713" spans="1:47" ht="13.2" x14ac:dyDescent="0.25">
      <c r="A713" s="9"/>
      <c r="B713" s="9"/>
      <c r="C713" s="9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</row>
    <row r="714" spans="1:47" ht="13.2" x14ac:dyDescent="0.25">
      <c r="A714" s="9"/>
      <c r="B714" s="9"/>
      <c r="C714" s="9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</row>
    <row r="715" spans="1:47" ht="13.2" x14ac:dyDescent="0.25">
      <c r="A715" s="9"/>
      <c r="B715" s="9"/>
      <c r="C715" s="9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</row>
    <row r="716" spans="1:47" ht="13.2" x14ac:dyDescent="0.25">
      <c r="A716" s="9"/>
      <c r="B716" s="9"/>
      <c r="C716" s="9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</row>
    <row r="717" spans="1:47" ht="13.2" x14ac:dyDescent="0.25">
      <c r="A717" s="9"/>
      <c r="B717" s="9"/>
      <c r="C717" s="9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</row>
    <row r="718" spans="1:47" ht="13.2" x14ac:dyDescent="0.25">
      <c r="A718" s="9"/>
      <c r="B718" s="9"/>
      <c r="C718" s="9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</row>
    <row r="719" spans="1:47" ht="13.2" x14ac:dyDescent="0.25">
      <c r="A719" s="9"/>
      <c r="B719" s="9"/>
      <c r="C719" s="9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</row>
    <row r="720" spans="1:47" ht="13.2" x14ac:dyDescent="0.25">
      <c r="A720" s="9"/>
      <c r="B720" s="9"/>
      <c r="C720" s="9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</row>
    <row r="721" spans="1:47" ht="13.2" x14ac:dyDescent="0.25">
      <c r="A721" s="9"/>
      <c r="B721" s="9"/>
      <c r="C721" s="9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</row>
    <row r="722" spans="1:47" ht="13.2" x14ac:dyDescent="0.25">
      <c r="A722" s="9"/>
      <c r="B722" s="9"/>
      <c r="C722" s="9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</row>
    <row r="723" spans="1:47" ht="13.2" x14ac:dyDescent="0.25">
      <c r="A723" s="9"/>
      <c r="B723" s="9"/>
      <c r="C723" s="9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</row>
    <row r="724" spans="1:47" ht="13.2" x14ac:dyDescent="0.25">
      <c r="A724" s="9"/>
      <c r="B724" s="9"/>
      <c r="C724" s="9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</row>
    <row r="725" spans="1:47" ht="13.2" x14ac:dyDescent="0.25">
      <c r="A725" s="9"/>
      <c r="B725" s="9"/>
      <c r="C725" s="9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</row>
    <row r="726" spans="1:47" ht="13.2" x14ac:dyDescent="0.25">
      <c r="A726" s="9"/>
      <c r="B726" s="9"/>
      <c r="C726" s="9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</row>
    <row r="727" spans="1:47" ht="13.2" x14ac:dyDescent="0.25">
      <c r="A727" s="9"/>
      <c r="B727" s="9"/>
      <c r="C727" s="9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</row>
    <row r="728" spans="1:47" ht="13.2" x14ac:dyDescent="0.25">
      <c r="A728" s="9"/>
      <c r="B728" s="9"/>
      <c r="C728" s="9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</row>
    <row r="729" spans="1:47" ht="13.2" x14ac:dyDescent="0.25">
      <c r="A729" s="9"/>
      <c r="B729" s="9"/>
      <c r="C729" s="9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</row>
    <row r="730" spans="1:47" ht="13.2" x14ac:dyDescent="0.25">
      <c r="A730" s="9"/>
      <c r="B730" s="9"/>
      <c r="C730" s="9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</row>
    <row r="731" spans="1:47" ht="13.2" x14ac:dyDescent="0.25">
      <c r="A731" s="9"/>
      <c r="B731" s="9"/>
      <c r="C731" s="9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</row>
    <row r="732" spans="1:47" ht="13.2" x14ac:dyDescent="0.25">
      <c r="A732" s="9"/>
      <c r="B732" s="9"/>
      <c r="C732" s="9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</row>
    <row r="733" spans="1:47" ht="13.2" x14ac:dyDescent="0.25">
      <c r="A733" s="9"/>
      <c r="B733" s="9"/>
      <c r="C733" s="9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</row>
    <row r="734" spans="1:47" ht="13.2" x14ac:dyDescent="0.25">
      <c r="A734" s="9"/>
      <c r="B734" s="9"/>
      <c r="C734" s="9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</row>
    <row r="735" spans="1:47" ht="13.2" x14ac:dyDescent="0.25">
      <c r="A735" s="9"/>
      <c r="B735" s="9"/>
      <c r="C735" s="9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</row>
    <row r="736" spans="1:47" ht="13.2" x14ac:dyDescent="0.25">
      <c r="A736" s="9"/>
      <c r="B736" s="9"/>
      <c r="C736" s="9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</row>
    <row r="737" spans="1:47" ht="13.2" x14ac:dyDescent="0.25">
      <c r="A737" s="9"/>
      <c r="B737" s="9"/>
      <c r="C737" s="9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</row>
    <row r="738" spans="1:47" ht="13.2" x14ac:dyDescent="0.25">
      <c r="A738" s="9"/>
      <c r="B738" s="9"/>
      <c r="C738" s="9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</row>
    <row r="739" spans="1:47" ht="13.2" x14ac:dyDescent="0.25">
      <c r="A739" s="9"/>
      <c r="B739" s="9"/>
      <c r="C739" s="9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</row>
    <row r="740" spans="1:47" ht="13.2" x14ac:dyDescent="0.25">
      <c r="A740" s="9"/>
      <c r="B740" s="9"/>
      <c r="C740" s="9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</row>
    <row r="741" spans="1:47" ht="13.2" x14ac:dyDescent="0.25">
      <c r="A741" s="9"/>
      <c r="B741" s="9"/>
      <c r="C741" s="9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</row>
    <row r="742" spans="1:47" ht="13.2" x14ac:dyDescent="0.25">
      <c r="A742" s="9"/>
      <c r="B742" s="9"/>
      <c r="C742" s="9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</row>
    <row r="743" spans="1:47" ht="13.2" x14ac:dyDescent="0.25">
      <c r="A743" s="9"/>
      <c r="B743" s="9"/>
      <c r="C743" s="9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</row>
    <row r="744" spans="1:47" ht="13.2" x14ac:dyDescent="0.25">
      <c r="A744" s="9"/>
      <c r="B744" s="9"/>
      <c r="C744" s="9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</row>
    <row r="745" spans="1:47" ht="13.2" x14ac:dyDescent="0.25">
      <c r="A745" s="9"/>
      <c r="B745" s="9"/>
      <c r="C745" s="9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</row>
    <row r="746" spans="1:47" ht="13.2" x14ac:dyDescent="0.25">
      <c r="A746" s="9"/>
      <c r="B746" s="9"/>
      <c r="C746" s="9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</row>
    <row r="747" spans="1:47" ht="13.2" x14ac:dyDescent="0.25">
      <c r="A747" s="9"/>
      <c r="B747" s="9"/>
      <c r="C747" s="9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</row>
    <row r="748" spans="1:47" ht="13.2" x14ac:dyDescent="0.25">
      <c r="A748" s="9"/>
      <c r="B748" s="9"/>
      <c r="C748" s="9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</row>
    <row r="749" spans="1:47" ht="13.2" x14ac:dyDescent="0.25">
      <c r="A749" s="9"/>
      <c r="B749" s="9"/>
      <c r="C749" s="9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</row>
    <row r="750" spans="1:47" ht="13.2" x14ac:dyDescent="0.25">
      <c r="A750" s="9"/>
      <c r="B750" s="9"/>
      <c r="C750" s="9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</row>
    <row r="751" spans="1:47" ht="13.2" x14ac:dyDescent="0.25">
      <c r="A751" s="9"/>
      <c r="B751" s="9"/>
      <c r="C751" s="9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</row>
    <row r="752" spans="1:47" ht="13.2" x14ac:dyDescent="0.25">
      <c r="A752" s="9"/>
      <c r="B752" s="9"/>
      <c r="C752" s="9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</row>
    <row r="753" spans="1:47" ht="13.2" x14ac:dyDescent="0.25">
      <c r="A753" s="9"/>
      <c r="B753" s="9"/>
      <c r="C753" s="9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</row>
    <row r="754" spans="1:47" ht="13.2" x14ac:dyDescent="0.25">
      <c r="A754" s="9"/>
      <c r="B754" s="9"/>
      <c r="C754" s="9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</row>
    <row r="755" spans="1:47" ht="13.2" x14ac:dyDescent="0.25">
      <c r="A755" s="9"/>
      <c r="B755" s="9"/>
      <c r="C755" s="9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</row>
    <row r="756" spans="1:47" ht="13.2" x14ac:dyDescent="0.25">
      <c r="A756" s="9"/>
      <c r="B756" s="9"/>
      <c r="C756" s="9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</row>
    <row r="757" spans="1:47" ht="13.2" x14ac:dyDescent="0.25">
      <c r="A757" s="9"/>
      <c r="B757" s="9"/>
      <c r="C757" s="9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</row>
    <row r="758" spans="1:47" ht="13.2" x14ac:dyDescent="0.25">
      <c r="A758" s="9"/>
      <c r="B758" s="9"/>
      <c r="C758" s="9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</row>
    <row r="759" spans="1:47" ht="13.2" x14ac:dyDescent="0.25">
      <c r="A759" s="9"/>
      <c r="B759" s="9"/>
      <c r="C759" s="9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</row>
    <row r="760" spans="1:47" ht="13.2" x14ac:dyDescent="0.25">
      <c r="A760" s="9"/>
      <c r="B760" s="9"/>
      <c r="C760" s="9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</row>
    <row r="761" spans="1:47" ht="13.2" x14ac:dyDescent="0.25">
      <c r="A761" s="9"/>
      <c r="B761" s="9"/>
      <c r="C761" s="9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</row>
    <row r="762" spans="1:47" ht="13.2" x14ac:dyDescent="0.25">
      <c r="A762" s="9"/>
      <c r="B762" s="9"/>
      <c r="C762" s="9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</row>
    <row r="763" spans="1:47" ht="13.2" x14ac:dyDescent="0.25">
      <c r="A763" s="9"/>
      <c r="B763" s="9"/>
      <c r="C763" s="9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</row>
    <row r="764" spans="1:47" ht="13.2" x14ac:dyDescent="0.25">
      <c r="A764" s="9"/>
      <c r="B764" s="9"/>
      <c r="C764" s="9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</row>
    <row r="765" spans="1:47" ht="13.2" x14ac:dyDescent="0.25">
      <c r="A765" s="9"/>
      <c r="B765" s="9"/>
      <c r="C765" s="9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</row>
    <row r="766" spans="1:47" ht="13.2" x14ac:dyDescent="0.25">
      <c r="A766" s="9"/>
      <c r="B766" s="9"/>
      <c r="C766" s="9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</row>
    <row r="767" spans="1:47" ht="13.2" x14ac:dyDescent="0.25">
      <c r="A767" s="9"/>
      <c r="B767" s="9"/>
      <c r="C767" s="9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</row>
    <row r="768" spans="1:47" ht="13.2" x14ac:dyDescent="0.25">
      <c r="A768" s="9"/>
      <c r="B768" s="9"/>
      <c r="C768" s="9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</row>
    <row r="769" spans="1:47" ht="13.2" x14ac:dyDescent="0.25">
      <c r="A769" s="9"/>
      <c r="B769" s="9"/>
      <c r="C769" s="9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</row>
    <row r="770" spans="1:47" ht="13.2" x14ac:dyDescent="0.25">
      <c r="A770" s="9"/>
      <c r="B770" s="9"/>
      <c r="C770" s="9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</row>
    <row r="771" spans="1:47" ht="13.2" x14ac:dyDescent="0.25">
      <c r="A771" s="9"/>
      <c r="B771" s="9"/>
      <c r="C771" s="9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</row>
    <row r="772" spans="1:47" ht="13.2" x14ac:dyDescent="0.25">
      <c r="A772" s="9"/>
      <c r="B772" s="9"/>
      <c r="C772" s="9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</row>
    <row r="773" spans="1:47" ht="13.2" x14ac:dyDescent="0.25">
      <c r="A773" s="9"/>
      <c r="B773" s="9"/>
      <c r="C773" s="9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</row>
    <row r="774" spans="1:47" ht="13.2" x14ac:dyDescent="0.25">
      <c r="A774" s="9"/>
      <c r="B774" s="9"/>
      <c r="C774" s="9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</row>
    <row r="775" spans="1:47" ht="13.2" x14ac:dyDescent="0.25">
      <c r="A775" s="9"/>
      <c r="B775" s="9"/>
      <c r="C775" s="9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</row>
    <row r="776" spans="1:47" ht="13.2" x14ac:dyDescent="0.25">
      <c r="A776" s="9"/>
      <c r="B776" s="9"/>
      <c r="C776" s="9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</row>
    <row r="777" spans="1:47" ht="13.2" x14ac:dyDescent="0.25">
      <c r="A777" s="9"/>
      <c r="B777" s="9"/>
      <c r="C777" s="9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</row>
    <row r="778" spans="1:47" ht="13.2" x14ac:dyDescent="0.25">
      <c r="A778" s="9"/>
      <c r="B778" s="9"/>
      <c r="C778" s="9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</row>
    <row r="779" spans="1:47" ht="13.2" x14ac:dyDescent="0.25">
      <c r="A779" s="9"/>
      <c r="B779" s="9"/>
      <c r="C779" s="9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</row>
    <row r="780" spans="1:47" ht="13.2" x14ac:dyDescent="0.25">
      <c r="A780" s="9"/>
      <c r="B780" s="9"/>
      <c r="C780" s="9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</row>
    <row r="781" spans="1:47" ht="13.2" x14ac:dyDescent="0.25">
      <c r="A781" s="9"/>
      <c r="B781" s="9"/>
      <c r="C781" s="9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</row>
    <row r="782" spans="1:47" ht="13.2" x14ac:dyDescent="0.25">
      <c r="A782" s="9"/>
      <c r="B782" s="9"/>
      <c r="C782" s="9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</row>
    <row r="783" spans="1:47" ht="13.2" x14ac:dyDescent="0.25">
      <c r="A783" s="9"/>
      <c r="B783" s="9"/>
      <c r="C783" s="9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</row>
    <row r="784" spans="1:47" ht="13.2" x14ac:dyDescent="0.25">
      <c r="A784" s="9"/>
      <c r="B784" s="9"/>
      <c r="C784" s="9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</row>
    <row r="785" spans="1:47" ht="13.2" x14ac:dyDescent="0.25">
      <c r="A785" s="9"/>
      <c r="B785" s="9"/>
      <c r="C785" s="9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</row>
    <row r="786" spans="1:47" ht="13.2" x14ac:dyDescent="0.25">
      <c r="A786" s="9"/>
      <c r="B786" s="9"/>
      <c r="C786" s="9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</row>
    <row r="787" spans="1:47" ht="13.2" x14ac:dyDescent="0.25">
      <c r="A787" s="9"/>
      <c r="B787" s="9"/>
      <c r="C787" s="9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</row>
    <row r="788" spans="1:47" ht="13.2" x14ac:dyDescent="0.25">
      <c r="A788" s="9"/>
      <c r="B788" s="9"/>
      <c r="C788" s="9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</row>
    <row r="789" spans="1:47" ht="13.2" x14ac:dyDescent="0.25">
      <c r="A789" s="9"/>
      <c r="B789" s="9"/>
      <c r="C789" s="9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</row>
    <row r="790" spans="1:47" ht="13.2" x14ac:dyDescent="0.25">
      <c r="A790" s="9"/>
      <c r="B790" s="9"/>
      <c r="C790" s="9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</row>
    <row r="791" spans="1:47" ht="13.2" x14ac:dyDescent="0.25">
      <c r="A791" s="9"/>
      <c r="B791" s="9"/>
      <c r="C791" s="9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</row>
    <row r="792" spans="1:47" ht="13.2" x14ac:dyDescent="0.25">
      <c r="A792" s="9"/>
      <c r="B792" s="9"/>
      <c r="C792" s="9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</row>
    <row r="793" spans="1:47" ht="13.2" x14ac:dyDescent="0.25">
      <c r="A793" s="9"/>
      <c r="B793" s="9"/>
      <c r="C793" s="9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</row>
    <row r="794" spans="1:47" ht="13.2" x14ac:dyDescent="0.25">
      <c r="A794" s="9"/>
      <c r="B794" s="9"/>
      <c r="C794" s="9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</row>
    <row r="795" spans="1:47" ht="13.2" x14ac:dyDescent="0.25">
      <c r="A795" s="9"/>
      <c r="B795" s="9"/>
      <c r="C795" s="9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</row>
    <row r="796" spans="1:47" ht="13.2" x14ac:dyDescent="0.25">
      <c r="A796" s="9"/>
      <c r="B796" s="9"/>
      <c r="C796" s="9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</row>
    <row r="797" spans="1:47" ht="13.2" x14ac:dyDescent="0.25">
      <c r="A797" s="9"/>
      <c r="B797" s="9"/>
      <c r="C797" s="9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</row>
    <row r="798" spans="1:47" ht="13.2" x14ac:dyDescent="0.25">
      <c r="A798" s="9"/>
      <c r="B798" s="9"/>
      <c r="C798" s="9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</row>
    <row r="799" spans="1:47" ht="13.2" x14ac:dyDescent="0.25">
      <c r="A799" s="9"/>
      <c r="B799" s="9"/>
      <c r="C799" s="9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</row>
    <row r="800" spans="1:47" ht="13.2" x14ac:dyDescent="0.25">
      <c r="A800" s="9"/>
      <c r="B800" s="9"/>
      <c r="C800" s="9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</row>
    <row r="801" spans="1:47" ht="13.2" x14ac:dyDescent="0.25">
      <c r="A801" s="9"/>
      <c r="B801" s="9"/>
      <c r="C801" s="9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</row>
    <row r="802" spans="1:47" ht="13.2" x14ac:dyDescent="0.25">
      <c r="A802" s="9"/>
      <c r="B802" s="9"/>
      <c r="C802" s="9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</row>
    <row r="803" spans="1:47" ht="13.2" x14ac:dyDescent="0.25">
      <c r="A803" s="9"/>
      <c r="B803" s="9"/>
      <c r="C803" s="9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</row>
    <row r="804" spans="1:47" ht="13.2" x14ac:dyDescent="0.25">
      <c r="A804" s="9"/>
      <c r="B804" s="9"/>
      <c r="C804" s="9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</row>
    <row r="805" spans="1:47" ht="13.2" x14ac:dyDescent="0.25">
      <c r="A805" s="9"/>
      <c r="B805" s="9"/>
      <c r="C805" s="9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</row>
    <row r="806" spans="1:47" ht="13.2" x14ac:dyDescent="0.25">
      <c r="A806" s="9"/>
      <c r="B806" s="9"/>
      <c r="C806" s="9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</row>
    <row r="807" spans="1:47" ht="13.2" x14ac:dyDescent="0.25">
      <c r="A807" s="9"/>
      <c r="B807" s="9"/>
      <c r="C807" s="9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</row>
    <row r="808" spans="1:47" ht="13.2" x14ac:dyDescent="0.25">
      <c r="A808" s="9"/>
      <c r="B808" s="9"/>
      <c r="C808" s="9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</row>
    <row r="809" spans="1:47" ht="13.2" x14ac:dyDescent="0.25">
      <c r="A809" s="9"/>
      <c r="B809" s="9"/>
      <c r="C809" s="9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</row>
    <row r="810" spans="1:47" ht="13.2" x14ac:dyDescent="0.25">
      <c r="A810" s="9"/>
      <c r="B810" s="9"/>
      <c r="C810" s="9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</row>
    <row r="811" spans="1:47" ht="13.2" x14ac:dyDescent="0.25">
      <c r="A811" s="9"/>
      <c r="B811" s="9"/>
      <c r="C811" s="9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</row>
    <row r="812" spans="1:47" ht="13.2" x14ac:dyDescent="0.25">
      <c r="A812" s="9"/>
      <c r="B812" s="9"/>
      <c r="C812" s="9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</row>
    <row r="813" spans="1:47" ht="13.2" x14ac:dyDescent="0.25">
      <c r="A813" s="9"/>
      <c r="B813" s="9"/>
      <c r="C813" s="9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</row>
    <row r="814" spans="1:47" ht="13.2" x14ac:dyDescent="0.25">
      <c r="A814" s="9"/>
      <c r="B814" s="9"/>
      <c r="C814" s="9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</row>
    <row r="815" spans="1:47" ht="13.2" x14ac:dyDescent="0.25">
      <c r="A815" s="9"/>
      <c r="B815" s="9"/>
      <c r="C815" s="9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</row>
    <row r="816" spans="1:47" ht="13.2" x14ac:dyDescent="0.25">
      <c r="A816" s="9"/>
      <c r="B816" s="9"/>
      <c r="C816" s="9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</row>
    <row r="817" spans="1:47" ht="13.2" x14ac:dyDescent="0.25">
      <c r="A817" s="9"/>
      <c r="B817" s="9"/>
      <c r="C817" s="9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</row>
    <row r="818" spans="1:47" ht="13.2" x14ac:dyDescent="0.25">
      <c r="A818" s="9"/>
      <c r="B818" s="9"/>
      <c r="C818" s="9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</row>
    <row r="819" spans="1:47" ht="13.2" x14ac:dyDescent="0.25">
      <c r="A819" s="9"/>
      <c r="B819" s="9"/>
      <c r="C819" s="9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</row>
    <row r="820" spans="1:47" ht="13.2" x14ac:dyDescent="0.25">
      <c r="A820" s="9"/>
      <c r="B820" s="9"/>
      <c r="C820" s="9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</row>
    <row r="821" spans="1:47" ht="13.2" x14ac:dyDescent="0.25">
      <c r="A821" s="9"/>
      <c r="B821" s="9"/>
      <c r="C821" s="9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</row>
    <row r="822" spans="1:47" ht="13.2" x14ac:dyDescent="0.25">
      <c r="A822" s="9"/>
      <c r="B822" s="9"/>
      <c r="C822" s="9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</row>
    <row r="823" spans="1:47" ht="13.2" x14ac:dyDescent="0.25">
      <c r="A823" s="9"/>
      <c r="B823" s="9"/>
      <c r="C823" s="9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</row>
    <row r="824" spans="1:47" ht="13.2" x14ac:dyDescent="0.25">
      <c r="A824" s="9"/>
      <c r="B824" s="9"/>
      <c r="C824" s="9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</row>
    <row r="825" spans="1:47" ht="13.2" x14ac:dyDescent="0.25">
      <c r="A825" s="9"/>
      <c r="B825" s="9"/>
      <c r="C825" s="9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</row>
    <row r="826" spans="1:47" ht="13.2" x14ac:dyDescent="0.25">
      <c r="A826" s="9"/>
      <c r="B826" s="9"/>
      <c r="C826" s="9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</row>
    <row r="827" spans="1:47" ht="13.2" x14ac:dyDescent="0.25">
      <c r="A827" s="9"/>
      <c r="B827" s="9"/>
      <c r="C827" s="9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</row>
    <row r="828" spans="1:47" ht="13.2" x14ac:dyDescent="0.25">
      <c r="A828" s="9"/>
      <c r="B828" s="9"/>
      <c r="C828" s="9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</row>
    <row r="829" spans="1:47" ht="13.2" x14ac:dyDescent="0.25">
      <c r="A829" s="9"/>
      <c r="B829" s="9"/>
      <c r="C829" s="9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</row>
    <row r="830" spans="1:47" ht="13.2" x14ac:dyDescent="0.25">
      <c r="A830" s="9"/>
      <c r="B830" s="9"/>
      <c r="C830" s="9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</row>
    <row r="831" spans="1:47" ht="13.2" x14ac:dyDescent="0.25">
      <c r="A831" s="9"/>
      <c r="B831" s="9"/>
      <c r="C831" s="9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</row>
    <row r="832" spans="1:47" ht="13.2" x14ac:dyDescent="0.25">
      <c r="A832" s="9"/>
      <c r="B832" s="9"/>
      <c r="C832" s="9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</row>
    <row r="833" spans="1:47" ht="13.2" x14ac:dyDescent="0.25">
      <c r="A833" s="9"/>
      <c r="B833" s="9"/>
      <c r="C833" s="9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</row>
    <row r="834" spans="1:47" ht="13.2" x14ac:dyDescent="0.25">
      <c r="A834" s="9"/>
      <c r="B834" s="9"/>
      <c r="C834" s="9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</row>
    <row r="835" spans="1:47" ht="13.2" x14ac:dyDescent="0.25">
      <c r="A835" s="9"/>
      <c r="B835" s="9"/>
      <c r="C835" s="9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</row>
    <row r="836" spans="1:47" ht="13.2" x14ac:dyDescent="0.25">
      <c r="A836" s="9"/>
      <c r="B836" s="9"/>
      <c r="C836" s="9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</row>
    <row r="837" spans="1:47" ht="13.2" x14ac:dyDescent="0.25">
      <c r="A837" s="9"/>
      <c r="B837" s="9"/>
      <c r="C837" s="9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</row>
    <row r="838" spans="1:47" ht="13.2" x14ac:dyDescent="0.25">
      <c r="A838" s="9"/>
      <c r="B838" s="9"/>
      <c r="C838" s="9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</row>
    <row r="839" spans="1:47" ht="13.2" x14ac:dyDescent="0.25">
      <c r="A839" s="9"/>
      <c r="B839" s="9"/>
      <c r="C839" s="9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</row>
    <row r="840" spans="1:47" ht="13.2" x14ac:dyDescent="0.25">
      <c r="A840" s="9"/>
      <c r="B840" s="9"/>
      <c r="C840" s="9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</row>
    <row r="841" spans="1:47" ht="13.2" x14ac:dyDescent="0.25">
      <c r="A841" s="9"/>
      <c r="B841" s="9"/>
      <c r="C841" s="9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</row>
    <row r="842" spans="1:47" ht="13.2" x14ac:dyDescent="0.25">
      <c r="A842" s="9"/>
      <c r="B842" s="9"/>
      <c r="C842" s="9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</row>
    <row r="843" spans="1:47" ht="13.2" x14ac:dyDescent="0.25">
      <c r="A843" s="9"/>
      <c r="B843" s="9"/>
      <c r="C843" s="9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</row>
    <row r="844" spans="1:47" ht="13.2" x14ac:dyDescent="0.25">
      <c r="A844" s="9"/>
      <c r="B844" s="9"/>
      <c r="C844" s="9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</row>
    <row r="845" spans="1:47" ht="13.2" x14ac:dyDescent="0.25">
      <c r="A845" s="9"/>
      <c r="B845" s="9"/>
      <c r="C845" s="9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</row>
    <row r="846" spans="1:47" ht="13.2" x14ac:dyDescent="0.25">
      <c r="A846" s="9"/>
      <c r="B846" s="9"/>
      <c r="C846" s="9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</row>
    <row r="847" spans="1:47" ht="13.2" x14ac:dyDescent="0.25">
      <c r="A847" s="9"/>
      <c r="B847" s="9"/>
      <c r="C847" s="9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</row>
    <row r="848" spans="1:47" ht="13.2" x14ac:dyDescent="0.25">
      <c r="A848" s="9"/>
      <c r="B848" s="9"/>
      <c r="C848" s="9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</row>
    <row r="849" spans="1:47" ht="13.2" x14ac:dyDescent="0.25">
      <c r="A849" s="9"/>
      <c r="B849" s="9"/>
      <c r="C849" s="9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</row>
    <row r="850" spans="1:47" ht="13.2" x14ac:dyDescent="0.25">
      <c r="A850" s="9"/>
      <c r="B850" s="9"/>
      <c r="C850" s="9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</row>
    <row r="851" spans="1:47" ht="13.2" x14ac:dyDescent="0.25">
      <c r="A851" s="9"/>
      <c r="B851" s="9"/>
      <c r="C851" s="9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</row>
    <row r="852" spans="1:47" ht="13.2" x14ac:dyDescent="0.25">
      <c r="A852" s="9"/>
      <c r="B852" s="9"/>
      <c r="C852" s="9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</row>
    <row r="853" spans="1:47" ht="13.2" x14ac:dyDescent="0.25">
      <c r="A853" s="9"/>
      <c r="B853" s="9"/>
      <c r="C853" s="9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</row>
    <row r="854" spans="1:47" ht="13.2" x14ac:dyDescent="0.25">
      <c r="A854" s="9"/>
      <c r="B854" s="9"/>
      <c r="C854" s="9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</row>
    <row r="855" spans="1:47" ht="13.2" x14ac:dyDescent="0.25">
      <c r="A855" s="9"/>
      <c r="B855" s="9"/>
      <c r="C855" s="9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</row>
    <row r="856" spans="1:47" ht="13.2" x14ac:dyDescent="0.25">
      <c r="A856" s="9"/>
      <c r="B856" s="9"/>
      <c r="C856" s="9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</row>
    <row r="857" spans="1:47" ht="13.2" x14ac:dyDescent="0.25">
      <c r="A857" s="9"/>
      <c r="B857" s="9"/>
      <c r="C857" s="9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</row>
    <row r="858" spans="1:47" ht="13.2" x14ac:dyDescent="0.25">
      <c r="A858" s="9"/>
      <c r="B858" s="9"/>
      <c r="C858" s="9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</row>
    <row r="859" spans="1:47" ht="13.2" x14ac:dyDescent="0.25">
      <c r="A859" s="9"/>
      <c r="B859" s="9"/>
      <c r="C859" s="9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</row>
    <row r="860" spans="1:47" ht="13.2" x14ac:dyDescent="0.25">
      <c r="A860" s="9"/>
      <c r="B860" s="9"/>
      <c r="C860" s="9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</row>
    <row r="861" spans="1:47" ht="13.2" x14ac:dyDescent="0.25">
      <c r="A861" s="9"/>
      <c r="B861" s="9"/>
      <c r="C861" s="9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</row>
    <row r="862" spans="1:47" ht="13.2" x14ac:dyDescent="0.25">
      <c r="A862" s="9"/>
      <c r="B862" s="9"/>
      <c r="C862" s="9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</row>
    <row r="863" spans="1:47" ht="13.2" x14ac:dyDescent="0.25">
      <c r="A863" s="9"/>
      <c r="B863" s="9"/>
      <c r="C863" s="9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</row>
    <row r="864" spans="1:47" ht="13.2" x14ac:dyDescent="0.25">
      <c r="A864" s="9"/>
      <c r="B864" s="9"/>
      <c r="C864" s="9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</row>
    <row r="865" spans="1:47" ht="13.2" x14ac:dyDescent="0.25">
      <c r="A865" s="9"/>
      <c r="B865" s="9"/>
      <c r="C865" s="9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</row>
    <row r="866" spans="1:47" ht="13.2" x14ac:dyDescent="0.25">
      <c r="A866" s="9"/>
      <c r="B866" s="9"/>
      <c r="C866" s="9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</row>
    <row r="867" spans="1:47" ht="13.2" x14ac:dyDescent="0.25">
      <c r="A867" s="9"/>
      <c r="B867" s="9"/>
      <c r="C867" s="9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</row>
    <row r="868" spans="1:47" ht="13.2" x14ac:dyDescent="0.25">
      <c r="A868" s="9"/>
      <c r="B868" s="9"/>
      <c r="C868" s="9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</row>
    <row r="869" spans="1:47" ht="13.2" x14ac:dyDescent="0.25">
      <c r="A869" s="9"/>
      <c r="B869" s="9"/>
      <c r="C869" s="9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</row>
    <row r="870" spans="1:47" ht="13.2" x14ac:dyDescent="0.25">
      <c r="A870" s="9"/>
      <c r="B870" s="9"/>
      <c r="C870" s="9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</row>
    <row r="871" spans="1:47" ht="13.2" x14ac:dyDescent="0.25">
      <c r="A871" s="9"/>
      <c r="B871" s="9"/>
      <c r="C871" s="9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</row>
    <row r="872" spans="1:47" ht="13.2" x14ac:dyDescent="0.25">
      <c r="A872" s="9"/>
      <c r="B872" s="9"/>
      <c r="C872" s="9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</row>
    <row r="873" spans="1:47" ht="13.2" x14ac:dyDescent="0.25">
      <c r="A873" s="9"/>
      <c r="B873" s="9"/>
      <c r="C873" s="9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</row>
    <row r="874" spans="1:47" ht="13.2" x14ac:dyDescent="0.25">
      <c r="A874" s="9"/>
      <c r="B874" s="9"/>
      <c r="C874" s="9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</row>
    <row r="875" spans="1:47" ht="13.2" x14ac:dyDescent="0.25">
      <c r="A875" s="9"/>
      <c r="B875" s="9"/>
      <c r="C875" s="9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</row>
    <row r="876" spans="1:47" ht="13.2" x14ac:dyDescent="0.25">
      <c r="A876" s="9"/>
      <c r="B876" s="9"/>
      <c r="C876" s="9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</row>
    <row r="877" spans="1:47" ht="13.2" x14ac:dyDescent="0.25">
      <c r="A877" s="9"/>
      <c r="B877" s="9"/>
      <c r="C877" s="9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</row>
    <row r="878" spans="1:47" ht="13.2" x14ac:dyDescent="0.25">
      <c r="A878" s="9"/>
      <c r="B878" s="9"/>
      <c r="C878" s="9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</row>
    <row r="879" spans="1:47" ht="13.2" x14ac:dyDescent="0.25">
      <c r="A879" s="9"/>
      <c r="B879" s="9"/>
      <c r="C879" s="9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</row>
    <row r="880" spans="1:47" ht="13.2" x14ac:dyDescent="0.25">
      <c r="A880" s="9"/>
      <c r="B880" s="9"/>
      <c r="C880" s="9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</row>
    <row r="881" spans="1:47" ht="13.2" x14ac:dyDescent="0.25">
      <c r="A881" s="9"/>
      <c r="B881" s="9"/>
      <c r="C881" s="9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</row>
    <row r="882" spans="1:47" ht="13.2" x14ac:dyDescent="0.25">
      <c r="A882" s="9"/>
      <c r="B882" s="9"/>
      <c r="C882" s="9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</row>
    <row r="883" spans="1:47" ht="13.2" x14ac:dyDescent="0.25">
      <c r="A883" s="9"/>
      <c r="B883" s="9"/>
      <c r="C883" s="9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</row>
    <row r="884" spans="1:47" ht="13.2" x14ac:dyDescent="0.25">
      <c r="A884" s="9"/>
      <c r="B884" s="9"/>
      <c r="C884" s="9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</row>
    <row r="885" spans="1:47" ht="13.2" x14ac:dyDescent="0.25">
      <c r="A885" s="9"/>
      <c r="B885" s="9"/>
      <c r="C885" s="9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</row>
    <row r="886" spans="1:47" ht="13.2" x14ac:dyDescent="0.25">
      <c r="A886" s="9"/>
      <c r="B886" s="9"/>
      <c r="C886" s="9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</row>
    <row r="887" spans="1:47" ht="13.2" x14ac:dyDescent="0.25">
      <c r="A887" s="9"/>
      <c r="B887" s="9"/>
      <c r="C887" s="9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</row>
    <row r="888" spans="1:47" ht="13.2" x14ac:dyDescent="0.25">
      <c r="A888" s="9"/>
      <c r="B888" s="9"/>
      <c r="C888" s="9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</row>
    <row r="889" spans="1:47" ht="13.2" x14ac:dyDescent="0.25">
      <c r="A889" s="9"/>
      <c r="B889" s="9"/>
      <c r="C889" s="9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</row>
    <row r="890" spans="1:47" ht="13.2" x14ac:dyDescent="0.25">
      <c r="A890" s="9"/>
      <c r="B890" s="9"/>
      <c r="C890" s="9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</row>
    <row r="891" spans="1:47" ht="13.2" x14ac:dyDescent="0.25">
      <c r="A891" s="9"/>
      <c r="B891" s="9"/>
      <c r="C891" s="9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</row>
    <row r="892" spans="1:47" ht="13.2" x14ac:dyDescent="0.25">
      <c r="A892" s="9"/>
      <c r="B892" s="9"/>
      <c r="C892" s="9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</row>
    <row r="893" spans="1:47" ht="13.2" x14ac:dyDescent="0.25">
      <c r="A893" s="9"/>
      <c r="B893" s="9"/>
      <c r="C893" s="9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</row>
    <row r="894" spans="1:47" ht="13.2" x14ac:dyDescent="0.25">
      <c r="A894" s="9"/>
      <c r="B894" s="9"/>
      <c r="C894" s="9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</row>
    <row r="895" spans="1:47" ht="13.2" x14ac:dyDescent="0.25">
      <c r="A895" s="9"/>
      <c r="B895" s="9"/>
      <c r="C895" s="9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</row>
    <row r="896" spans="1:47" ht="13.2" x14ac:dyDescent="0.25">
      <c r="A896" s="9"/>
      <c r="B896" s="9"/>
      <c r="C896" s="9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</row>
    <row r="897" spans="1:47" ht="13.2" x14ac:dyDescent="0.25">
      <c r="A897" s="9"/>
      <c r="B897" s="9"/>
      <c r="C897" s="9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</row>
    <row r="898" spans="1:47" ht="13.2" x14ac:dyDescent="0.25">
      <c r="A898" s="9"/>
      <c r="B898" s="9"/>
      <c r="C898" s="9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</row>
    <row r="899" spans="1:47" ht="13.2" x14ac:dyDescent="0.25">
      <c r="A899" s="9"/>
      <c r="B899" s="9"/>
      <c r="C899" s="9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</row>
    <row r="900" spans="1:47" ht="13.2" x14ac:dyDescent="0.25">
      <c r="A900" s="9"/>
      <c r="B900" s="9"/>
      <c r="C900" s="9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</row>
    <row r="901" spans="1:47" ht="13.2" x14ac:dyDescent="0.25">
      <c r="A901" s="9"/>
      <c r="B901" s="9"/>
      <c r="C901" s="9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</row>
    <row r="902" spans="1:47" ht="13.2" x14ac:dyDescent="0.25">
      <c r="A902" s="9"/>
      <c r="B902" s="9"/>
      <c r="C902" s="9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</row>
    <row r="903" spans="1:47" ht="13.2" x14ac:dyDescent="0.25">
      <c r="A903" s="9"/>
      <c r="B903" s="9"/>
      <c r="C903" s="9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</row>
    <row r="904" spans="1:47" ht="13.2" x14ac:dyDescent="0.25">
      <c r="A904" s="9"/>
      <c r="B904" s="9"/>
      <c r="C904" s="9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</row>
    <row r="905" spans="1:47" ht="13.2" x14ac:dyDescent="0.25">
      <c r="A905" s="9"/>
      <c r="B905" s="9"/>
      <c r="C905" s="9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</row>
    <row r="906" spans="1:47" ht="13.2" x14ac:dyDescent="0.25">
      <c r="A906" s="9"/>
      <c r="B906" s="9"/>
      <c r="C906" s="9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</row>
    <row r="907" spans="1:47" ht="13.2" x14ac:dyDescent="0.25">
      <c r="A907" s="9"/>
      <c r="B907" s="9"/>
      <c r="C907" s="9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</row>
    <row r="908" spans="1:47" ht="13.2" x14ac:dyDescent="0.25">
      <c r="A908" s="9"/>
      <c r="B908" s="9"/>
      <c r="C908" s="9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</row>
    <row r="909" spans="1:47" ht="13.2" x14ac:dyDescent="0.25">
      <c r="A909" s="9"/>
      <c r="B909" s="9"/>
      <c r="C909" s="9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</row>
    <row r="910" spans="1:47" ht="13.2" x14ac:dyDescent="0.25">
      <c r="A910" s="9"/>
      <c r="B910" s="9"/>
      <c r="C910" s="9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</row>
    <row r="911" spans="1:47" ht="13.2" x14ac:dyDescent="0.25">
      <c r="A911" s="9"/>
      <c r="B911" s="9"/>
      <c r="C911" s="9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</row>
    <row r="912" spans="1:47" ht="13.2" x14ac:dyDescent="0.25">
      <c r="A912" s="9"/>
      <c r="B912" s="9"/>
      <c r="C912" s="9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</row>
    <row r="913" spans="1:47" ht="13.2" x14ac:dyDescent="0.25">
      <c r="A913" s="9"/>
      <c r="B913" s="9"/>
      <c r="C913" s="9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</row>
    <row r="914" spans="1:47" ht="13.2" x14ac:dyDescent="0.25">
      <c r="A914" s="9"/>
      <c r="B914" s="9"/>
      <c r="C914" s="9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</row>
    <row r="915" spans="1:47" ht="13.2" x14ac:dyDescent="0.25">
      <c r="A915" s="9"/>
      <c r="B915" s="9"/>
      <c r="C915" s="9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</row>
    <row r="916" spans="1:47" ht="13.2" x14ac:dyDescent="0.25">
      <c r="A916" s="9"/>
      <c r="B916" s="9"/>
      <c r="C916" s="9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</row>
    <row r="917" spans="1:47" ht="13.2" x14ac:dyDescent="0.25">
      <c r="A917" s="9"/>
      <c r="B917" s="9"/>
      <c r="C917" s="9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</row>
    <row r="918" spans="1:47" ht="13.2" x14ac:dyDescent="0.25">
      <c r="A918" s="9"/>
      <c r="B918" s="9"/>
      <c r="C918" s="9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</row>
    <row r="919" spans="1:47" ht="13.2" x14ac:dyDescent="0.25">
      <c r="A919" s="9"/>
      <c r="B919" s="9"/>
      <c r="C919" s="9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</row>
    <row r="920" spans="1:47" ht="13.2" x14ac:dyDescent="0.25">
      <c r="A920" s="9"/>
      <c r="B920" s="9"/>
      <c r="C920" s="9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</row>
    <row r="921" spans="1:47" ht="13.2" x14ac:dyDescent="0.25">
      <c r="A921" s="9"/>
      <c r="B921" s="9"/>
      <c r="C921" s="9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</row>
    <row r="922" spans="1:47" ht="13.2" x14ac:dyDescent="0.25">
      <c r="A922" s="9"/>
      <c r="B922" s="9"/>
      <c r="C922" s="9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</row>
    <row r="923" spans="1:47" ht="13.2" x14ac:dyDescent="0.25">
      <c r="A923" s="9"/>
      <c r="B923" s="9"/>
      <c r="C923" s="9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</row>
    <row r="924" spans="1:47" ht="13.2" x14ac:dyDescent="0.25">
      <c r="A924" s="9"/>
      <c r="B924" s="9"/>
      <c r="C924" s="9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</row>
    <row r="925" spans="1:47" ht="13.2" x14ac:dyDescent="0.25">
      <c r="A925" s="9"/>
      <c r="B925" s="9"/>
      <c r="C925" s="9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</row>
    <row r="926" spans="1:47" ht="13.2" x14ac:dyDescent="0.25">
      <c r="A926" s="9"/>
      <c r="B926" s="9"/>
      <c r="C926" s="9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</row>
    <row r="927" spans="1:47" ht="13.2" x14ac:dyDescent="0.25">
      <c r="A927" s="9"/>
      <c r="B927" s="9"/>
      <c r="C927" s="9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</row>
    <row r="928" spans="1:47" ht="13.2" x14ac:dyDescent="0.25">
      <c r="A928" s="9"/>
      <c r="B928" s="9"/>
      <c r="C928" s="9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</row>
    <row r="929" spans="1:47" ht="13.2" x14ac:dyDescent="0.25">
      <c r="A929" s="9"/>
      <c r="B929" s="9"/>
      <c r="C929" s="9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</row>
    <row r="930" spans="1:47" ht="13.2" x14ac:dyDescent="0.25">
      <c r="A930" s="9"/>
      <c r="B930" s="9"/>
      <c r="C930" s="9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</row>
    <row r="931" spans="1:47" ht="13.2" x14ac:dyDescent="0.25">
      <c r="A931" s="9"/>
      <c r="B931" s="9"/>
      <c r="C931" s="9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</row>
    <row r="932" spans="1:47" ht="13.2" x14ac:dyDescent="0.25">
      <c r="A932" s="9"/>
      <c r="B932" s="9"/>
      <c r="C932" s="9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</row>
    <row r="933" spans="1:47" ht="13.2" x14ac:dyDescent="0.25">
      <c r="A933" s="9"/>
      <c r="B933" s="9"/>
      <c r="C933" s="9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</row>
    <row r="934" spans="1:47" ht="13.2" x14ac:dyDescent="0.25">
      <c r="A934" s="9"/>
      <c r="B934" s="9"/>
      <c r="C934" s="9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</row>
    <row r="935" spans="1:47" ht="13.2" x14ac:dyDescent="0.25">
      <c r="A935" s="9"/>
      <c r="B935" s="9"/>
      <c r="C935" s="9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</row>
    <row r="936" spans="1:47" ht="13.2" x14ac:dyDescent="0.25">
      <c r="A936" s="9"/>
      <c r="B936" s="9"/>
      <c r="C936" s="9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</row>
    <row r="937" spans="1:47" ht="13.2" x14ac:dyDescent="0.25">
      <c r="A937" s="9"/>
      <c r="B937" s="9"/>
      <c r="C937" s="9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</row>
    <row r="938" spans="1:47" ht="13.2" x14ac:dyDescent="0.25">
      <c r="A938" s="9"/>
      <c r="B938" s="9"/>
      <c r="C938" s="9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</row>
    <row r="939" spans="1:47" ht="13.2" x14ac:dyDescent="0.25">
      <c r="A939" s="9"/>
      <c r="B939" s="9"/>
      <c r="C939" s="9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</row>
    <row r="940" spans="1:47" ht="13.2" x14ac:dyDescent="0.25">
      <c r="A940" s="9"/>
      <c r="B940" s="9"/>
      <c r="C940" s="9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</row>
    <row r="941" spans="1:47" ht="13.2" x14ac:dyDescent="0.25">
      <c r="A941" s="9"/>
      <c r="B941" s="9"/>
      <c r="C941" s="9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</row>
    <row r="942" spans="1:47" ht="13.2" x14ac:dyDescent="0.25">
      <c r="A942" s="9"/>
      <c r="B942" s="9"/>
      <c r="C942" s="9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</row>
    <row r="943" spans="1:47" ht="13.2" x14ac:dyDescent="0.25">
      <c r="A943" s="9"/>
      <c r="B943" s="9"/>
      <c r="C943" s="9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</row>
    <row r="944" spans="1:47" ht="13.2" x14ac:dyDescent="0.25">
      <c r="A944" s="9"/>
      <c r="B944" s="9"/>
      <c r="C944" s="9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</row>
    <row r="945" spans="1:47" ht="13.2" x14ac:dyDescent="0.25">
      <c r="A945" s="9"/>
      <c r="B945" s="9"/>
      <c r="C945" s="9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</row>
    <row r="946" spans="1:47" ht="13.2" x14ac:dyDescent="0.25">
      <c r="A946" s="9"/>
      <c r="B946" s="9"/>
      <c r="C946" s="9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</row>
    <row r="947" spans="1:47" ht="13.2" x14ac:dyDescent="0.25">
      <c r="A947" s="9"/>
      <c r="B947" s="9"/>
      <c r="C947" s="9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</row>
    <row r="948" spans="1:47" ht="13.2" x14ac:dyDescent="0.25">
      <c r="A948" s="9"/>
      <c r="B948" s="9"/>
      <c r="C948" s="9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</row>
    <row r="949" spans="1:47" ht="13.2" x14ac:dyDescent="0.25">
      <c r="A949" s="9"/>
      <c r="B949" s="9"/>
      <c r="C949" s="9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</row>
    <row r="950" spans="1:47" ht="13.2" x14ac:dyDescent="0.25">
      <c r="A950" s="9"/>
      <c r="B950" s="9"/>
      <c r="C950" s="9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</row>
    <row r="951" spans="1:47" ht="13.2" x14ac:dyDescent="0.25">
      <c r="A951" s="9"/>
      <c r="B951" s="9"/>
      <c r="C951" s="9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</row>
    <row r="952" spans="1:47" ht="13.2" x14ac:dyDescent="0.25">
      <c r="A952" s="9"/>
      <c r="B952" s="9"/>
      <c r="C952" s="9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</row>
    <row r="953" spans="1:47" ht="13.2" x14ac:dyDescent="0.25">
      <c r="A953" s="9"/>
      <c r="B953" s="9"/>
      <c r="C953" s="9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</row>
    <row r="954" spans="1:47" ht="13.2" x14ac:dyDescent="0.25">
      <c r="A954" s="9"/>
      <c r="B954" s="9"/>
      <c r="C954" s="9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</row>
    <row r="955" spans="1:47" ht="13.2" x14ac:dyDescent="0.25">
      <c r="A955" s="9"/>
      <c r="B955" s="9"/>
      <c r="C955" s="9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</row>
    <row r="956" spans="1:47" ht="13.2" x14ac:dyDescent="0.25">
      <c r="A956" s="9"/>
      <c r="B956" s="9"/>
      <c r="C956" s="9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</row>
    <row r="957" spans="1:47" ht="13.2" x14ac:dyDescent="0.25">
      <c r="A957" s="9"/>
      <c r="B957" s="9"/>
      <c r="C957" s="9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</row>
    <row r="958" spans="1:47" ht="13.2" x14ac:dyDescent="0.25">
      <c r="A958" s="9"/>
      <c r="B958" s="9"/>
      <c r="C958" s="9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</row>
    <row r="959" spans="1:47" ht="13.2" x14ac:dyDescent="0.25">
      <c r="A959" s="9"/>
      <c r="B959" s="9"/>
      <c r="C959" s="9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</row>
    <row r="960" spans="1:47" ht="13.2" x14ac:dyDescent="0.25">
      <c r="A960" s="9"/>
      <c r="B960" s="9"/>
      <c r="C960" s="9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</row>
    <row r="961" spans="1:47" ht="13.2" x14ac:dyDescent="0.25">
      <c r="A961" s="9"/>
      <c r="B961" s="9"/>
      <c r="C961" s="9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</row>
    <row r="962" spans="1:47" ht="13.2" x14ac:dyDescent="0.25">
      <c r="A962" s="9"/>
      <c r="B962" s="9"/>
      <c r="C962" s="9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</row>
    <row r="963" spans="1:47" ht="13.2" x14ac:dyDescent="0.25">
      <c r="A963" s="9"/>
      <c r="B963" s="9"/>
      <c r="C963" s="9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</row>
    <row r="964" spans="1:47" ht="13.2" x14ac:dyDescent="0.25">
      <c r="A964" s="9"/>
      <c r="B964" s="9"/>
      <c r="C964" s="9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</row>
    <row r="965" spans="1:47" ht="13.2" x14ac:dyDescent="0.25">
      <c r="A965" s="9"/>
      <c r="B965" s="9"/>
      <c r="C965" s="9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</row>
    <row r="966" spans="1:47" ht="13.2" x14ac:dyDescent="0.25">
      <c r="A966" s="9"/>
      <c r="B966" s="9"/>
      <c r="C966" s="9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</row>
    <row r="967" spans="1:47" ht="13.2" x14ac:dyDescent="0.25">
      <c r="A967" s="9"/>
      <c r="B967" s="9"/>
      <c r="C967" s="9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</row>
    <row r="968" spans="1:47" ht="13.2" x14ac:dyDescent="0.25">
      <c r="A968" s="9"/>
      <c r="B968" s="9"/>
      <c r="C968" s="9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</row>
    <row r="969" spans="1:47" ht="13.2" x14ac:dyDescent="0.25">
      <c r="A969" s="9"/>
      <c r="B969" s="9"/>
      <c r="C969" s="9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</row>
    <row r="970" spans="1:47" ht="13.2" x14ac:dyDescent="0.25">
      <c r="A970" s="9"/>
      <c r="B970" s="9"/>
      <c r="C970" s="9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</row>
    <row r="971" spans="1:47" ht="13.2" x14ac:dyDescent="0.25">
      <c r="A971" s="9"/>
      <c r="B971" s="9"/>
      <c r="C971" s="9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</row>
    <row r="972" spans="1:47" ht="13.2" x14ac:dyDescent="0.25">
      <c r="A972" s="9"/>
      <c r="B972" s="9"/>
      <c r="C972" s="9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</row>
    <row r="973" spans="1:47" ht="13.2" x14ac:dyDescent="0.25">
      <c r="A973" s="9"/>
      <c r="B973" s="9"/>
      <c r="C973" s="9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</row>
    <row r="974" spans="1:47" ht="13.2" x14ac:dyDescent="0.25">
      <c r="A974" s="9"/>
      <c r="B974" s="9"/>
      <c r="C974" s="9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</row>
    <row r="975" spans="1:47" ht="13.2" x14ac:dyDescent="0.25">
      <c r="A975" s="9"/>
      <c r="B975" s="9"/>
      <c r="C975" s="9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</row>
    <row r="976" spans="1:47" ht="13.2" x14ac:dyDescent="0.25">
      <c r="A976" s="9"/>
      <c r="B976" s="9"/>
      <c r="C976" s="9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</row>
    <row r="977" spans="1:47" ht="13.2" x14ac:dyDescent="0.25">
      <c r="A977" s="9"/>
      <c r="B977" s="9"/>
      <c r="C977" s="9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</row>
    <row r="978" spans="1:47" ht="13.2" x14ac:dyDescent="0.25">
      <c r="A978" s="9"/>
      <c r="B978" s="9"/>
      <c r="C978" s="9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</row>
    <row r="979" spans="1:47" ht="13.2" x14ac:dyDescent="0.25">
      <c r="A979" s="9"/>
      <c r="B979" s="9"/>
      <c r="C979" s="9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</row>
    <row r="980" spans="1:47" ht="13.2" x14ac:dyDescent="0.25">
      <c r="A980" s="9"/>
      <c r="B980" s="9"/>
      <c r="C980" s="9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</row>
    <row r="981" spans="1:47" ht="13.2" x14ac:dyDescent="0.25">
      <c r="A981" s="9"/>
      <c r="B981" s="9"/>
      <c r="C981" s="9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</row>
    <row r="982" spans="1:47" ht="13.2" x14ac:dyDescent="0.25">
      <c r="A982" s="9"/>
      <c r="B982" s="9"/>
      <c r="C982" s="9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</row>
    <row r="983" spans="1:47" ht="13.2" x14ac:dyDescent="0.25">
      <c r="A983" s="9"/>
      <c r="B983" s="9"/>
      <c r="C983" s="9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</row>
    <row r="984" spans="1:47" ht="13.2" x14ac:dyDescent="0.25">
      <c r="A984" s="9"/>
      <c r="B984" s="9"/>
      <c r="C984" s="9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</row>
    <row r="985" spans="1:47" ht="13.2" x14ac:dyDescent="0.25">
      <c r="A985" s="9"/>
      <c r="B985" s="9"/>
      <c r="C985" s="9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</row>
    <row r="986" spans="1:47" ht="13.2" x14ac:dyDescent="0.25">
      <c r="A986" s="9"/>
      <c r="B986" s="9"/>
      <c r="C986" s="9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</row>
    <row r="987" spans="1:47" ht="13.2" x14ac:dyDescent="0.25">
      <c r="A987" s="9"/>
      <c r="B987" s="9"/>
      <c r="C987" s="9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</row>
    <row r="988" spans="1:47" ht="13.2" x14ac:dyDescent="0.25">
      <c r="A988" s="9"/>
      <c r="B988" s="9"/>
      <c r="C988" s="9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</row>
    <row r="989" spans="1:47" ht="13.2" x14ac:dyDescent="0.25">
      <c r="A989" s="9"/>
      <c r="B989" s="9"/>
      <c r="C989" s="9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</row>
    <row r="990" spans="1:47" ht="13.2" x14ac:dyDescent="0.25">
      <c r="A990" s="9"/>
      <c r="B990" s="9"/>
      <c r="C990" s="9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</row>
    <row r="991" spans="1:47" ht="13.2" x14ac:dyDescent="0.25">
      <c r="A991" s="9"/>
      <c r="B991" s="9"/>
      <c r="C991" s="9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</row>
    <row r="992" spans="1:47" ht="13.2" x14ac:dyDescent="0.25">
      <c r="A992" s="9"/>
      <c r="B992" s="9"/>
      <c r="C992" s="9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</row>
    <row r="993" spans="1:47" ht="13.2" x14ac:dyDescent="0.25">
      <c r="A993" s="9"/>
      <c r="B993" s="9"/>
      <c r="C993" s="9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</row>
    <row r="994" spans="1:47" ht="13.2" x14ac:dyDescent="0.25">
      <c r="A994" s="9"/>
      <c r="B994" s="9"/>
      <c r="C994" s="9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</row>
    <row r="995" spans="1:47" ht="13.2" x14ac:dyDescent="0.25">
      <c r="A995" s="9"/>
      <c r="B995" s="9"/>
      <c r="C995" s="9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</row>
    <row r="996" spans="1:47" ht="13.2" x14ac:dyDescent="0.25">
      <c r="A996" s="9"/>
      <c r="B996" s="9"/>
      <c r="C996" s="9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</row>
    <row r="997" spans="1:47" ht="13.2" x14ac:dyDescent="0.25">
      <c r="A997" s="9"/>
      <c r="B997" s="9"/>
      <c r="C997" s="9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</row>
    <row r="998" spans="1:47" ht="13.2" x14ac:dyDescent="0.25">
      <c r="A998" s="9"/>
      <c r="B998" s="9"/>
      <c r="C998" s="9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</row>
    <row r="999" spans="1:47" ht="13.2" x14ac:dyDescent="0.25">
      <c r="A999" s="9"/>
      <c r="B999" s="9"/>
      <c r="C999" s="9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</row>
    <row r="1000" spans="1:47" ht="13.2" x14ac:dyDescent="0.25">
      <c r="A1000" s="9"/>
      <c r="B1000" s="9"/>
      <c r="C1000" s="9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</row>
    <row r="1001" spans="1:47" ht="13.2" x14ac:dyDescent="0.25">
      <c r="A1001" s="9"/>
      <c r="B1001" s="9"/>
      <c r="C1001" s="9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</row>
    <row r="1002" spans="1:47" ht="13.2" x14ac:dyDescent="0.25">
      <c r="A1002" s="9"/>
      <c r="B1002" s="9"/>
      <c r="C1002" s="9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</row>
    <row r="1003" spans="1:47" ht="13.2" x14ac:dyDescent="0.25">
      <c r="A1003" s="9"/>
      <c r="B1003" s="9"/>
      <c r="C1003" s="9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</row>
    <row r="1004" spans="1:47" ht="13.2" x14ac:dyDescent="0.25">
      <c r="A1004" s="9"/>
      <c r="B1004" s="9"/>
      <c r="C1004" s="9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</row>
    <row r="1005" spans="1:47" ht="13.2" x14ac:dyDescent="0.25">
      <c r="A1005" s="9"/>
      <c r="B1005" s="9"/>
      <c r="C1005" s="9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</row>
    <row r="1006" spans="1:47" ht="13.2" x14ac:dyDescent="0.25">
      <c r="A1006" s="9"/>
      <c r="B1006" s="9"/>
      <c r="C1006" s="9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</row>
    <row r="1007" spans="1:47" ht="13.2" x14ac:dyDescent="0.25">
      <c r="A1007" s="9"/>
      <c r="B1007" s="9"/>
      <c r="C1007" s="9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</row>
    <row r="1008" spans="1:47" ht="13.2" x14ac:dyDescent="0.25">
      <c r="A1008" s="9"/>
      <c r="B1008" s="9"/>
      <c r="C1008" s="9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</row>
    <row r="1009" spans="1:47" ht="13.2" x14ac:dyDescent="0.25">
      <c r="A1009" s="9"/>
      <c r="B1009" s="9"/>
      <c r="C1009" s="9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</row>
    <row r="1010" spans="1:47" ht="13.2" x14ac:dyDescent="0.25">
      <c r="A1010" s="9"/>
      <c r="B1010" s="9"/>
      <c r="C1010" s="9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</row>
    <row r="1011" spans="1:47" ht="13.2" x14ac:dyDescent="0.25">
      <c r="A1011" s="9"/>
      <c r="B1011" s="9"/>
      <c r="C1011" s="9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</row>
    <row r="1012" spans="1:47" ht="13.2" x14ac:dyDescent="0.25">
      <c r="A1012" s="9"/>
      <c r="B1012" s="9"/>
      <c r="C1012" s="9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</row>
    <row r="1013" spans="1:47" ht="13.2" x14ac:dyDescent="0.25">
      <c r="A1013" s="9"/>
      <c r="B1013" s="9"/>
      <c r="C1013" s="9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</row>
    <row r="1014" spans="1:47" ht="13.2" x14ac:dyDescent="0.25">
      <c r="A1014" s="9"/>
      <c r="B1014" s="9"/>
      <c r="C1014" s="9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</row>
    <row r="1015" spans="1:47" ht="13.2" x14ac:dyDescent="0.25">
      <c r="A1015" s="9"/>
      <c r="B1015" s="9"/>
      <c r="C1015" s="9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</row>
    <row r="1016" spans="1:47" ht="13.2" x14ac:dyDescent="0.25">
      <c r="A1016" s="9"/>
      <c r="B1016" s="9"/>
      <c r="C1016" s="9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</row>
    <row r="1017" spans="1:47" ht="13.2" x14ac:dyDescent="0.25">
      <c r="A1017" s="9"/>
      <c r="B1017" s="9"/>
      <c r="C1017" s="9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</row>
    <row r="1018" spans="1:47" ht="13.2" x14ac:dyDescent="0.25">
      <c r="A1018" s="9"/>
      <c r="B1018" s="9"/>
      <c r="C1018" s="9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</row>
  </sheetData>
  <mergeCells count="11">
    <mergeCell ref="A46:A49"/>
    <mergeCell ref="A50:A62"/>
    <mergeCell ref="A63:A65"/>
    <mergeCell ref="A66:A67"/>
    <mergeCell ref="A2:A8"/>
    <mergeCell ref="A9:A18"/>
    <mergeCell ref="A19:A20"/>
    <mergeCell ref="A21:A25"/>
    <mergeCell ref="A26:A34"/>
    <mergeCell ref="A35:A40"/>
    <mergeCell ref="A41:A45"/>
  </mergeCells>
  <conditionalFormatting sqref="D2:Z65 AA63:AG65">
    <cfRule type="containsBlanks" dxfId="0" priority="1">
      <formula>LEN(TRIM(D2))=0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S56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 x14ac:dyDescent="0.25"/>
  <cols>
    <col min="1" max="1" width="50.88671875" customWidth="1"/>
  </cols>
  <sheetData>
    <row r="1" spans="1:45" ht="15.75" customHeight="1" x14ac:dyDescent="0.25">
      <c r="A1" s="81" t="s">
        <v>205</v>
      </c>
      <c r="B1" s="81"/>
      <c r="C1" s="82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3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</row>
    <row r="2" spans="1:45" ht="15.75" customHeight="1" x14ac:dyDescent="0.25">
      <c r="A2" s="85" t="s">
        <v>206</v>
      </c>
      <c r="B2" s="81"/>
      <c r="C2" s="82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3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</row>
    <row r="3" spans="1:45" ht="15.75" customHeight="1" x14ac:dyDescent="0.25">
      <c r="A3" s="85" t="s">
        <v>207</v>
      </c>
      <c r="B3" s="81"/>
      <c r="C3" s="82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3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</row>
    <row r="4" spans="1:45" ht="15.75" customHeight="1" x14ac:dyDescent="0.25">
      <c r="A4" s="85" t="s">
        <v>208</v>
      </c>
      <c r="B4" s="81"/>
      <c r="C4" s="82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3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</row>
    <row r="5" spans="1:45" ht="15.75" customHeight="1" x14ac:dyDescent="0.25">
      <c r="A5" s="81"/>
      <c r="B5" s="81" t="s">
        <v>86</v>
      </c>
      <c r="C5" s="82" t="s">
        <v>87</v>
      </c>
      <c r="D5" s="81" t="s">
        <v>88</v>
      </c>
      <c r="E5" s="81" t="s">
        <v>89</v>
      </c>
      <c r="F5" s="81" t="s">
        <v>90</v>
      </c>
      <c r="G5" s="81" t="s">
        <v>91</v>
      </c>
      <c r="H5" s="81" t="s">
        <v>92</v>
      </c>
      <c r="I5" s="81" t="s">
        <v>169</v>
      </c>
      <c r="J5" s="81" t="s">
        <v>94</v>
      </c>
      <c r="K5" s="81" t="s">
        <v>95</v>
      </c>
      <c r="L5" s="81" t="s">
        <v>96</v>
      </c>
      <c r="M5" s="81" t="s">
        <v>97</v>
      </c>
      <c r="N5" s="81" t="s">
        <v>98</v>
      </c>
      <c r="O5" s="81" t="s">
        <v>99</v>
      </c>
      <c r="P5" s="81" t="s">
        <v>100</v>
      </c>
      <c r="Q5" s="81" t="s">
        <v>101</v>
      </c>
      <c r="R5" s="81" t="s">
        <v>102</v>
      </c>
      <c r="S5" s="81" t="s">
        <v>103</v>
      </c>
      <c r="T5" s="83" t="s">
        <v>104</v>
      </c>
      <c r="U5" s="81" t="s">
        <v>105</v>
      </c>
      <c r="V5" s="81" t="s">
        <v>106</v>
      </c>
      <c r="W5" s="81" t="s">
        <v>107</v>
      </c>
      <c r="X5" s="81" t="s">
        <v>108</v>
      </c>
      <c r="Y5" s="81" t="s">
        <v>109</v>
      </c>
      <c r="Z5" s="81" t="s">
        <v>110</v>
      </c>
      <c r="AA5" s="81" t="s">
        <v>111</v>
      </c>
      <c r="AB5" s="81" t="s">
        <v>113</v>
      </c>
      <c r="AC5" s="81" t="s">
        <v>112</v>
      </c>
      <c r="AD5" s="81" t="s">
        <v>114</v>
      </c>
      <c r="AE5" s="81" t="s">
        <v>115</v>
      </c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</row>
    <row r="6" spans="1:45" ht="15.75" customHeight="1" x14ac:dyDescent="0.25">
      <c r="A6" s="85" t="s">
        <v>209</v>
      </c>
      <c r="B6" s="85">
        <v>2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</row>
    <row r="7" spans="1:45" ht="15.75" customHeight="1" x14ac:dyDescent="0.25">
      <c r="A7" s="85" t="s">
        <v>209</v>
      </c>
      <c r="B7" s="85">
        <v>2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</row>
    <row r="8" spans="1:45" ht="15.75" customHeight="1" x14ac:dyDescent="0.25">
      <c r="A8" s="85" t="s">
        <v>210</v>
      </c>
      <c r="B8" s="85">
        <v>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</row>
    <row r="9" spans="1:45" ht="15.75" customHeight="1" x14ac:dyDescent="0.25">
      <c r="A9" s="85" t="s">
        <v>211</v>
      </c>
      <c r="B9" s="85">
        <v>1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</row>
    <row r="10" spans="1:45" ht="15.75" customHeight="1" x14ac:dyDescent="0.25">
      <c r="A10" s="85" t="s">
        <v>212</v>
      </c>
      <c r="B10" s="85">
        <v>2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</row>
    <row r="11" spans="1:45" ht="15.75" customHeight="1" x14ac:dyDescent="0.25">
      <c r="A11" s="85" t="s">
        <v>213</v>
      </c>
      <c r="B11" s="85">
        <v>2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</row>
    <row r="12" spans="1:45" ht="15.75" customHeight="1" x14ac:dyDescent="0.25">
      <c r="A12" s="85" t="s">
        <v>214</v>
      </c>
      <c r="B12" s="85">
        <v>1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</row>
    <row r="13" spans="1:45" ht="15.75" customHeight="1" x14ac:dyDescent="0.25">
      <c r="A13" s="85" t="s">
        <v>215</v>
      </c>
      <c r="B13" s="85">
        <v>1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</row>
    <row r="14" spans="1:45" ht="15.75" customHeight="1" x14ac:dyDescent="0.25">
      <c r="A14" s="85" t="s">
        <v>216</v>
      </c>
      <c r="B14" s="85">
        <v>2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</row>
    <row r="15" spans="1:45" ht="15.75" customHeight="1" x14ac:dyDescent="0.25">
      <c r="A15" s="85" t="s">
        <v>217</v>
      </c>
      <c r="B15" s="85">
        <v>2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</row>
    <row r="16" spans="1:45" ht="15.75" customHeight="1" x14ac:dyDescent="0.25">
      <c r="A16" s="85" t="s">
        <v>218</v>
      </c>
      <c r="B16" s="85">
        <v>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</row>
    <row r="17" spans="1:31" ht="15.75" customHeight="1" x14ac:dyDescent="0.25">
      <c r="A17" s="85" t="s">
        <v>219</v>
      </c>
      <c r="B17" s="85">
        <v>2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</row>
    <row r="18" spans="1:31" ht="15.75" customHeight="1" x14ac:dyDescent="0.25">
      <c r="A18" s="85" t="s">
        <v>220</v>
      </c>
      <c r="B18" s="85">
        <v>1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</row>
    <row r="19" spans="1:31" ht="15.75" customHeight="1" x14ac:dyDescent="0.25">
      <c r="A19" s="85" t="s">
        <v>221</v>
      </c>
      <c r="B19" s="85">
        <v>1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</row>
    <row r="20" spans="1:31" ht="15.75" customHeight="1" x14ac:dyDescent="0.25">
      <c r="A20" s="85" t="s">
        <v>222</v>
      </c>
      <c r="B20" s="85">
        <v>2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</row>
    <row r="21" spans="1:31" ht="15.75" customHeight="1" x14ac:dyDescent="0.25">
      <c r="A21" s="85" t="s">
        <v>223</v>
      </c>
      <c r="B21" s="85">
        <v>2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</row>
    <row r="22" spans="1:31" ht="15.75" customHeight="1" x14ac:dyDescent="0.25">
      <c r="A22" s="85" t="s">
        <v>224</v>
      </c>
      <c r="B22" s="85">
        <v>2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</row>
    <row r="23" spans="1:31" ht="15.75" customHeight="1" x14ac:dyDescent="0.25">
      <c r="A23" s="85" t="s">
        <v>225</v>
      </c>
      <c r="B23" s="85">
        <v>2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</row>
    <row r="24" spans="1:31" ht="15.75" customHeight="1" x14ac:dyDescent="0.25">
      <c r="A24" s="85" t="s">
        <v>226</v>
      </c>
      <c r="B24" s="85">
        <v>2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</row>
    <row r="25" spans="1:31" ht="15.75" customHeight="1" x14ac:dyDescent="0.25">
      <c r="A25" s="85" t="s">
        <v>227</v>
      </c>
      <c r="B25" s="85">
        <v>2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</row>
    <row r="26" spans="1:31" ht="15.75" customHeight="1" x14ac:dyDescent="0.25">
      <c r="A26" s="85" t="s">
        <v>228</v>
      </c>
      <c r="B26" s="85">
        <v>2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</row>
    <row r="27" spans="1:31" ht="15.75" customHeight="1" x14ac:dyDescent="0.25">
      <c r="A27" s="85" t="s">
        <v>229</v>
      </c>
      <c r="B27" s="85">
        <v>2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</row>
    <row r="28" spans="1:31" ht="15.75" customHeight="1" x14ac:dyDescent="0.25">
      <c r="A28" s="85" t="s">
        <v>230</v>
      </c>
      <c r="B28" s="85">
        <v>2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</row>
    <row r="29" spans="1:31" ht="15.75" customHeight="1" x14ac:dyDescent="0.25">
      <c r="A29" s="85" t="s">
        <v>231</v>
      </c>
      <c r="B29" s="85">
        <v>0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</row>
    <row r="30" spans="1:31" ht="15.75" customHeight="1" x14ac:dyDescent="0.25">
      <c r="A30" s="85" t="s">
        <v>232</v>
      </c>
      <c r="B30" s="85">
        <v>2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</row>
    <row r="31" spans="1:31" ht="15.75" customHeight="1" x14ac:dyDescent="0.25">
      <c r="A31" s="85" t="s">
        <v>233</v>
      </c>
      <c r="B31" s="85">
        <v>2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</row>
    <row r="32" spans="1:31" ht="13.2" x14ac:dyDescent="0.25">
      <c r="A32" s="85" t="s">
        <v>234</v>
      </c>
      <c r="B32" s="85">
        <v>2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</row>
    <row r="33" spans="1:31" ht="13.2" x14ac:dyDescent="0.25">
      <c r="A33" s="85" t="s">
        <v>235</v>
      </c>
      <c r="B33" s="85">
        <v>2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</row>
    <row r="34" spans="1:31" ht="13.2" x14ac:dyDescent="0.25">
      <c r="A34" s="85" t="s">
        <v>236</v>
      </c>
      <c r="B34" s="85">
        <v>2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</row>
    <row r="35" spans="1:31" ht="13.2" x14ac:dyDescent="0.25">
      <c r="A35" s="85" t="s">
        <v>237</v>
      </c>
      <c r="B35" s="85">
        <v>1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</row>
    <row r="36" spans="1:31" ht="13.2" x14ac:dyDescent="0.25">
      <c r="A36" s="85" t="s">
        <v>238</v>
      </c>
      <c r="B36" s="85">
        <v>2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</row>
    <row r="37" spans="1:31" ht="13.2" x14ac:dyDescent="0.25">
      <c r="A37" s="85" t="s">
        <v>239</v>
      </c>
      <c r="B37" s="85">
        <v>2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</row>
    <row r="38" spans="1:31" ht="13.2" x14ac:dyDescent="0.25">
      <c r="A38" s="85" t="s">
        <v>240</v>
      </c>
      <c r="B38" s="85">
        <v>2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</row>
    <row r="39" spans="1:31" ht="13.2" x14ac:dyDescent="0.25">
      <c r="A39" s="85" t="s">
        <v>241</v>
      </c>
      <c r="B39" s="85">
        <v>2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</row>
    <row r="40" spans="1:31" ht="13.2" x14ac:dyDescent="0.25">
      <c r="A40" s="85" t="s">
        <v>242</v>
      </c>
      <c r="B40" s="85">
        <v>2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</row>
    <row r="41" spans="1:31" ht="13.2" x14ac:dyDescent="0.25">
      <c r="A41" s="85" t="s">
        <v>243</v>
      </c>
      <c r="B41" s="85">
        <v>2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</row>
    <row r="42" spans="1:31" ht="13.2" x14ac:dyDescent="0.25">
      <c r="A42" s="85" t="s">
        <v>244</v>
      </c>
      <c r="B42" s="85">
        <v>2</v>
      </c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</row>
    <row r="43" spans="1:31" ht="13.2" x14ac:dyDescent="0.25">
      <c r="A43" s="85" t="s">
        <v>245</v>
      </c>
      <c r="B43" s="85">
        <v>2</v>
      </c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</row>
    <row r="44" spans="1:31" ht="13.2" x14ac:dyDescent="0.25">
      <c r="A44" s="85" t="s">
        <v>246</v>
      </c>
      <c r="B44" s="85">
        <v>2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</row>
    <row r="45" spans="1:31" ht="13.2" x14ac:dyDescent="0.25">
      <c r="A45" s="85" t="s">
        <v>247</v>
      </c>
      <c r="B45" s="85">
        <v>2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</row>
    <row r="46" spans="1:31" ht="13.2" x14ac:dyDescent="0.25">
      <c r="A46" s="85" t="s">
        <v>248</v>
      </c>
      <c r="B46" s="85">
        <v>2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</row>
    <row r="47" spans="1:31" ht="13.2" x14ac:dyDescent="0.25">
      <c r="A47" s="85" t="s">
        <v>249</v>
      </c>
      <c r="B47" s="85">
        <v>2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</row>
    <row r="48" spans="1:31" ht="13.2" x14ac:dyDescent="0.25">
      <c r="A48" s="85" t="s">
        <v>250</v>
      </c>
      <c r="B48" s="85">
        <v>2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</row>
    <row r="49" spans="1:31" ht="13.2" x14ac:dyDescent="0.25">
      <c r="A49" s="85" t="s">
        <v>251</v>
      </c>
      <c r="B49" s="85">
        <v>1</v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</row>
    <row r="50" spans="1:31" ht="13.2" x14ac:dyDescent="0.25">
      <c r="A50" s="85" t="s">
        <v>252</v>
      </c>
      <c r="B50" s="85">
        <v>2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</row>
    <row r="51" spans="1:31" ht="13.2" x14ac:dyDescent="0.25">
      <c r="A51" s="85" t="s">
        <v>253</v>
      </c>
      <c r="B51" s="85">
        <v>1</v>
      </c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</row>
    <row r="52" spans="1:31" ht="13.2" x14ac:dyDescent="0.25">
      <c r="A52" s="85" t="s">
        <v>254</v>
      </c>
      <c r="B52" s="85">
        <v>1</v>
      </c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</row>
    <row r="53" spans="1:31" ht="13.2" x14ac:dyDescent="0.25">
      <c r="A53" s="85" t="s">
        <v>255</v>
      </c>
      <c r="B53" s="85">
        <v>2</v>
      </c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</row>
    <row r="54" spans="1:31" ht="13.2" x14ac:dyDescent="0.25">
      <c r="A54" s="85" t="s">
        <v>256</v>
      </c>
      <c r="B54" s="85">
        <v>1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</row>
    <row r="55" spans="1:31" ht="13.2" x14ac:dyDescent="0.25">
      <c r="A55" s="85" t="s">
        <v>257</v>
      </c>
      <c r="B55" s="85">
        <v>2</v>
      </c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</row>
    <row r="56" spans="1:31" ht="13.2" x14ac:dyDescent="0.25">
      <c r="A56" s="85" t="s">
        <v>258</v>
      </c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S1000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 x14ac:dyDescent="0.25"/>
  <cols>
    <col min="1" max="1" width="50.88671875" customWidth="1"/>
  </cols>
  <sheetData>
    <row r="1" spans="1:45" ht="15.75" customHeight="1" x14ac:dyDescent="0.25">
      <c r="A1" s="28"/>
    </row>
    <row r="2" spans="1:45" ht="15.75" customHeight="1" x14ac:dyDescent="0.25">
      <c r="A2" s="86"/>
      <c r="B2" s="84" t="s">
        <v>86</v>
      </c>
      <c r="C2" s="82" t="s">
        <v>87</v>
      </c>
      <c r="D2" s="84" t="s">
        <v>88</v>
      </c>
      <c r="E2" s="84" t="s">
        <v>89</v>
      </c>
      <c r="F2" s="84" t="s">
        <v>90</v>
      </c>
      <c r="G2" s="84" t="s">
        <v>91</v>
      </c>
      <c r="H2" s="84" t="s">
        <v>92</v>
      </c>
      <c r="I2" s="84" t="s">
        <v>169</v>
      </c>
      <c r="J2" s="84" t="s">
        <v>94</v>
      </c>
      <c r="K2" s="84" t="s">
        <v>95</v>
      </c>
      <c r="L2" s="84" t="s">
        <v>96</v>
      </c>
      <c r="M2" s="84" t="s">
        <v>97</v>
      </c>
      <c r="N2" s="84" t="s">
        <v>98</v>
      </c>
      <c r="O2" s="84" t="s">
        <v>99</v>
      </c>
      <c r="P2" s="84" t="s">
        <v>100</v>
      </c>
      <c r="Q2" s="84" t="s">
        <v>101</v>
      </c>
      <c r="R2" s="84" t="s">
        <v>102</v>
      </c>
      <c r="S2" s="84" t="s">
        <v>103</v>
      </c>
      <c r="T2" s="87" t="s">
        <v>104</v>
      </c>
      <c r="U2" s="84" t="s">
        <v>105</v>
      </c>
      <c r="V2" s="84" t="s">
        <v>106</v>
      </c>
      <c r="W2" s="84" t="s">
        <v>107</v>
      </c>
      <c r="X2" s="84" t="s">
        <v>108</v>
      </c>
      <c r="Y2" s="84" t="s">
        <v>109</v>
      </c>
      <c r="Z2" s="84" t="s">
        <v>110</v>
      </c>
      <c r="AA2" s="84" t="s">
        <v>111</v>
      </c>
      <c r="AB2" s="84" t="s">
        <v>113</v>
      </c>
      <c r="AC2" s="84" t="s">
        <v>112</v>
      </c>
      <c r="AD2" s="84" t="s">
        <v>114</v>
      </c>
      <c r="AE2" s="84" t="s">
        <v>115</v>
      </c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</row>
    <row r="3" spans="1:45" ht="15.75" customHeight="1" x14ac:dyDescent="0.25">
      <c r="A3" s="28" t="s">
        <v>209</v>
      </c>
      <c r="B3" s="88" t="s">
        <v>259</v>
      </c>
    </row>
    <row r="4" spans="1:45" ht="15.75" customHeight="1" x14ac:dyDescent="0.25">
      <c r="A4" s="28" t="s">
        <v>209</v>
      </c>
      <c r="B4" s="88" t="s">
        <v>260</v>
      </c>
    </row>
    <row r="5" spans="1:45" ht="15.75" customHeight="1" x14ac:dyDescent="0.25">
      <c r="A5" s="28" t="s">
        <v>210</v>
      </c>
      <c r="B5" s="88" t="s">
        <v>261</v>
      </c>
    </row>
    <row r="6" spans="1:45" ht="15.75" customHeight="1" x14ac:dyDescent="0.25">
      <c r="A6" s="28" t="s">
        <v>211</v>
      </c>
      <c r="B6" s="88" t="s">
        <v>262</v>
      </c>
    </row>
    <row r="7" spans="1:45" ht="15.75" customHeight="1" x14ac:dyDescent="0.25">
      <c r="A7" s="28" t="s">
        <v>212</v>
      </c>
      <c r="B7" s="88" t="s">
        <v>263</v>
      </c>
    </row>
    <row r="8" spans="1:45" ht="15.75" customHeight="1" x14ac:dyDescent="0.25">
      <c r="A8" s="28" t="s">
        <v>213</v>
      </c>
      <c r="B8" s="88" t="s">
        <v>264</v>
      </c>
    </row>
    <row r="9" spans="1:45" ht="15.75" customHeight="1" x14ac:dyDescent="0.25">
      <c r="A9" s="28" t="s">
        <v>214</v>
      </c>
      <c r="B9" s="88" t="s">
        <v>265</v>
      </c>
    </row>
    <row r="10" spans="1:45" ht="15.75" customHeight="1" x14ac:dyDescent="0.25">
      <c r="A10" s="28" t="s">
        <v>215</v>
      </c>
      <c r="B10" s="88" t="s">
        <v>266</v>
      </c>
    </row>
    <row r="11" spans="1:45" ht="15.75" customHeight="1" x14ac:dyDescent="0.25">
      <c r="A11" s="28" t="s">
        <v>216</v>
      </c>
      <c r="B11" s="88" t="s">
        <v>267</v>
      </c>
    </row>
    <row r="12" spans="1:45" ht="15.75" customHeight="1" x14ac:dyDescent="0.25">
      <c r="A12" s="28" t="s">
        <v>217</v>
      </c>
      <c r="B12" s="88" t="s">
        <v>268</v>
      </c>
    </row>
    <row r="13" spans="1:45" ht="15.75" customHeight="1" x14ac:dyDescent="0.25">
      <c r="A13" s="28" t="s">
        <v>218</v>
      </c>
      <c r="B13" s="88" t="s">
        <v>269</v>
      </c>
    </row>
    <row r="14" spans="1:45" ht="15.75" customHeight="1" x14ac:dyDescent="0.25">
      <c r="A14" s="28" t="s">
        <v>219</v>
      </c>
      <c r="B14" s="88" t="s">
        <v>270</v>
      </c>
    </row>
    <row r="15" spans="1:45" ht="15.75" customHeight="1" x14ac:dyDescent="0.25">
      <c r="A15" s="28" t="s">
        <v>220</v>
      </c>
      <c r="B15" s="88" t="s">
        <v>271</v>
      </c>
    </row>
    <row r="16" spans="1:45" ht="15.75" customHeight="1" x14ac:dyDescent="0.25">
      <c r="A16" s="28" t="s">
        <v>221</v>
      </c>
      <c r="B16" s="88" t="s">
        <v>272</v>
      </c>
    </row>
    <row r="17" spans="1:2" ht="15.75" customHeight="1" x14ac:dyDescent="0.25">
      <c r="A17" s="28" t="s">
        <v>222</v>
      </c>
      <c r="B17" s="88" t="s">
        <v>273</v>
      </c>
    </row>
    <row r="18" spans="1:2" ht="15.75" customHeight="1" x14ac:dyDescent="0.25">
      <c r="A18" s="28" t="s">
        <v>223</v>
      </c>
      <c r="B18" s="88" t="s">
        <v>274</v>
      </c>
    </row>
    <row r="19" spans="1:2" ht="15.75" customHeight="1" x14ac:dyDescent="0.25">
      <c r="A19" s="28" t="s">
        <v>224</v>
      </c>
      <c r="B19" s="88" t="s">
        <v>275</v>
      </c>
    </row>
    <row r="20" spans="1:2" ht="15.75" customHeight="1" x14ac:dyDescent="0.25">
      <c r="A20" s="28" t="s">
        <v>225</v>
      </c>
      <c r="B20" s="88" t="s">
        <v>276</v>
      </c>
    </row>
    <row r="21" spans="1:2" ht="15.75" customHeight="1" x14ac:dyDescent="0.25">
      <c r="A21" s="28" t="s">
        <v>226</v>
      </c>
      <c r="B21" s="88" t="s">
        <v>277</v>
      </c>
    </row>
    <row r="22" spans="1:2" ht="15.75" customHeight="1" x14ac:dyDescent="0.25">
      <c r="A22" s="28" t="s">
        <v>227</v>
      </c>
      <c r="B22" s="88" t="s">
        <v>278</v>
      </c>
    </row>
    <row r="23" spans="1:2" ht="15.75" customHeight="1" x14ac:dyDescent="0.25">
      <c r="A23" s="28" t="s">
        <v>228</v>
      </c>
      <c r="B23" s="88" t="s">
        <v>279</v>
      </c>
    </row>
    <row r="24" spans="1:2" ht="15.75" customHeight="1" x14ac:dyDescent="0.25">
      <c r="A24" s="28" t="s">
        <v>229</v>
      </c>
      <c r="B24" s="88" t="s">
        <v>280</v>
      </c>
    </row>
    <row r="25" spans="1:2" ht="15.75" customHeight="1" x14ac:dyDescent="0.25">
      <c r="A25" s="28" t="s">
        <v>230</v>
      </c>
      <c r="B25" s="88" t="s">
        <v>281</v>
      </c>
    </row>
    <row r="26" spans="1:2" ht="15.75" customHeight="1" x14ac:dyDescent="0.25">
      <c r="A26" s="28" t="s">
        <v>231</v>
      </c>
      <c r="B26" s="88" t="s">
        <v>282</v>
      </c>
    </row>
    <row r="27" spans="1:2" ht="15.75" customHeight="1" x14ac:dyDescent="0.25">
      <c r="A27" s="28" t="s">
        <v>232</v>
      </c>
      <c r="B27" s="88" t="s">
        <v>283</v>
      </c>
    </row>
    <row r="28" spans="1:2" ht="15.75" customHeight="1" x14ac:dyDescent="0.25">
      <c r="A28" s="28" t="s">
        <v>233</v>
      </c>
      <c r="B28" s="88" t="s">
        <v>284</v>
      </c>
    </row>
    <row r="29" spans="1:2" ht="15.75" customHeight="1" x14ac:dyDescent="0.25">
      <c r="A29" s="28" t="s">
        <v>234</v>
      </c>
      <c r="B29" s="88" t="s">
        <v>285</v>
      </c>
    </row>
    <row r="30" spans="1:2" ht="15.75" customHeight="1" x14ac:dyDescent="0.25">
      <c r="A30" s="28" t="s">
        <v>235</v>
      </c>
      <c r="B30" s="88" t="s">
        <v>286</v>
      </c>
    </row>
    <row r="31" spans="1:2" ht="15.75" customHeight="1" x14ac:dyDescent="0.25">
      <c r="A31" s="28" t="s">
        <v>236</v>
      </c>
      <c r="B31" s="88" t="s">
        <v>287</v>
      </c>
    </row>
    <row r="32" spans="1:2" ht="105.6" x14ac:dyDescent="0.25">
      <c r="A32" s="28" t="s">
        <v>237</v>
      </c>
      <c r="B32" s="88" t="s">
        <v>288</v>
      </c>
    </row>
    <row r="33" spans="1:2" ht="92.4" x14ac:dyDescent="0.25">
      <c r="A33" s="28" t="s">
        <v>238</v>
      </c>
      <c r="B33" s="88" t="s">
        <v>289</v>
      </c>
    </row>
    <row r="34" spans="1:2" ht="92.4" x14ac:dyDescent="0.25">
      <c r="A34" s="28" t="s">
        <v>239</v>
      </c>
      <c r="B34" s="88" t="s">
        <v>290</v>
      </c>
    </row>
    <row r="35" spans="1:2" ht="66" x14ac:dyDescent="0.25">
      <c r="A35" s="28" t="s">
        <v>240</v>
      </c>
      <c r="B35" s="88" t="s">
        <v>291</v>
      </c>
    </row>
    <row r="36" spans="1:2" ht="92.4" x14ac:dyDescent="0.25">
      <c r="A36" s="28" t="s">
        <v>241</v>
      </c>
      <c r="B36" s="88" t="s">
        <v>292</v>
      </c>
    </row>
    <row r="37" spans="1:2" ht="66" x14ac:dyDescent="0.25">
      <c r="A37" s="28" t="s">
        <v>242</v>
      </c>
      <c r="B37" s="88" t="s">
        <v>293</v>
      </c>
    </row>
    <row r="38" spans="1:2" ht="52.8" x14ac:dyDescent="0.25">
      <c r="A38" s="28" t="s">
        <v>243</v>
      </c>
      <c r="B38" s="88" t="s">
        <v>294</v>
      </c>
    </row>
    <row r="39" spans="1:2" ht="79.2" x14ac:dyDescent="0.25">
      <c r="A39" s="28" t="s">
        <v>244</v>
      </c>
      <c r="B39" s="88" t="s">
        <v>295</v>
      </c>
    </row>
    <row r="40" spans="1:2" ht="79.2" x14ac:dyDescent="0.25">
      <c r="A40" s="28" t="s">
        <v>245</v>
      </c>
      <c r="B40" s="88" t="s">
        <v>296</v>
      </c>
    </row>
    <row r="41" spans="1:2" ht="66" x14ac:dyDescent="0.25">
      <c r="A41" s="28" t="s">
        <v>246</v>
      </c>
      <c r="B41" s="88" t="s">
        <v>297</v>
      </c>
    </row>
    <row r="42" spans="1:2" ht="66" x14ac:dyDescent="0.25">
      <c r="A42" s="28" t="s">
        <v>247</v>
      </c>
      <c r="B42" s="88" t="s">
        <v>298</v>
      </c>
    </row>
    <row r="43" spans="1:2" ht="79.2" x14ac:dyDescent="0.25">
      <c r="A43" s="28" t="s">
        <v>248</v>
      </c>
      <c r="B43" s="88" t="s">
        <v>299</v>
      </c>
    </row>
    <row r="44" spans="1:2" ht="66" x14ac:dyDescent="0.25">
      <c r="A44" s="28" t="s">
        <v>249</v>
      </c>
      <c r="B44" s="88" t="s">
        <v>300</v>
      </c>
    </row>
    <row r="45" spans="1:2" ht="66" x14ac:dyDescent="0.25">
      <c r="A45" s="28" t="s">
        <v>250</v>
      </c>
      <c r="B45" s="88" t="s">
        <v>301</v>
      </c>
    </row>
    <row r="46" spans="1:2" ht="79.2" x14ac:dyDescent="0.25">
      <c r="A46" s="28" t="s">
        <v>251</v>
      </c>
      <c r="B46" s="88" t="s">
        <v>302</v>
      </c>
    </row>
    <row r="47" spans="1:2" ht="92.4" x14ac:dyDescent="0.25">
      <c r="A47" s="28" t="s">
        <v>252</v>
      </c>
      <c r="B47" s="88" t="s">
        <v>303</v>
      </c>
    </row>
    <row r="48" spans="1:2" ht="52.8" x14ac:dyDescent="0.25">
      <c r="A48" s="28" t="s">
        <v>253</v>
      </c>
      <c r="B48" s="88" t="s">
        <v>304</v>
      </c>
    </row>
    <row r="49" spans="1:2" ht="66" x14ac:dyDescent="0.25">
      <c r="A49" s="28" t="s">
        <v>254</v>
      </c>
      <c r="B49" s="88" t="s">
        <v>305</v>
      </c>
    </row>
    <row r="50" spans="1:2" ht="79.2" x14ac:dyDescent="0.25">
      <c r="A50" s="28" t="s">
        <v>255</v>
      </c>
      <c r="B50" s="88" t="s">
        <v>306</v>
      </c>
    </row>
    <row r="51" spans="1:2" ht="92.4" x14ac:dyDescent="0.25">
      <c r="A51" s="28" t="s">
        <v>256</v>
      </c>
      <c r="B51" s="88" t="s">
        <v>307</v>
      </c>
    </row>
    <row r="52" spans="1:2" ht="79.2" x14ac:dyDescent="0.25">
      <c r="A52" s="28" t="s">
        <v>257</v>
      </c>
      <c r="B52" s="88" t="s">
        <v>308</v>
      </c>
    </row>
    <row r="53" spans="1:2" ht="13.2" x14ac:dyDescent="0.25">
      <c r="A53" s="28" t="s">
        <v>258</v>
      </c>
    </row>
    <row r="54" spans="1:2" ht="13.2" x14ac:dyDescent="0.25">
      <c r="A54" s="28"/>
    </row>
    <row r="55" spans="1:2" ht="13.2" x14ac:dyDescent="0.25">
      <c r="A55" s="28"/>
    </row>
    <row r="56" spans="1:2" ht="13.2" x14ac:dyDescent="0.25">
      <c r="A56" s="28"/>
    </row>
    <row r="57" spans="1:2" ht="13.2" x14ac:dyDescent="0.25">
      <c r="A57" s="28"/>
    </row>
    <row r="58" spans="1:2" ht="13.2" x14ac:dyDescent="0.25">
      <c r="A58" s="28"/>
    </row>
    <row r="59" spans="1:2" ht="13.2" x14ac:dyDescent="0.25">
      <c r="A59" s="28"/>
    </row>
    <row r="60" spans="1:2" ht="13.2" x14ac:dyDescent="0.25">
      <c r="A60" s="28"/>
    </row>
    <row r="61" spans="1:2" ht="13.2" x14ac:dyDescent="0.25">
      <c r="A61" s="28"/>
    </row>
    <row r="62" spans="1:2" ht="13.2" x14ac:dyDescent="0.25">
      <c r="A62" s="28"/>
    </row>
    <row r="63" spans="1:2" ht="13.2" x14ac:dyDescent="0.25">
      <c r="A63" s="28"/>
    </row>
    <row r="64" spans="1:2" ht="13.2" x14ac:dyDescent="0.25">
      <c r="A64" s="28"/>
    </row>
    <row r="65" spans="1:1" ht="13.2" x14ac:dyDescent="0.25">
      <c r="A65" s="28"/>
    </row>
    <row r="66" spans="1:1" ht="13.2" x14ac:dyDescent="0.25">
      <c r="A66" s="28"/>
    </row>
    <row r="67" spans="1:1" ht="13.2" x14ac:dyDescent="0.25">
      <c r="A67" s="28"/>
    </row>
    <row r="68" spans="1:1" ht="13.2" x14ac:dyDescent="0.25">
      <c r="A68" s="28"/>
    </row>
    <row r="69" spans="1:1" ht="13.2" x14ac:dyDescent="0.25">
      <c r="A69" s="28"/>
    </row>
    <row r="70" spans="1:1" ht="13.2" x14ac:dyDescent="0.25">
      <c r="A70" s="28"/>
    </row>
    <row r="71" spans="1:1" ht="13.2" x14ac:dyDescent="0.25">
      <c r="A71" s="28"/>
    </row>
    <row r="72" spans="1:1" ht="13.2" x14ac:dyDescent="0.25">
      <c r="A72" s="28"/>
    </row>
    <row r="73" spans="1:1" ht="13.2" x14ac:dyDescent="0.25">
      <c r="A73" s="28"/>
    </row>
    <row r="74" spans="1:1" ht="13.2" x14ac:dyDescent="0.25">
      <c r="A74" s="28"/>
    </row>
    <row r="75" spans="1:1" ht="13.2" x14ac:dyDescent="0.25">
      <c r="A75" s="28"/>
    </row>
    <row r="76" spans="1:1" ht="13.2" x14ac:dyDescent="0.25">
      <c r="A76" s="28"/>
    </row>
    <row r="77" spans="1:1" ht="13.2" x14ac:dyDescent="0.25">
      <c r="A77" s="28"/>
    </row>
    <row r="78" spans="1:1" ht="13.2" x14ac:dyDescent="0.25">
      <c r="A78" s="28"/>
    </row>
    <row r="79" spans="1:1" ht="13.2" x14ac:dyDescent="0.25">
      <c r="A79" s="28"/>
    </row>
    <row r="80" spans="1:1" ht="13.2" x14ac:dyDescent="0.25">
      <c r="A80" s="28"/>
    </row>
    <row r="81" spans="1:1" ht="13.2" x14ac:dyDescent="0.25">
      <c r="A81" s="28"/>
    </row>
    <row r="82" spans="1:1" ht="13.2" x14ac:dyDescent="0.25">
      <c r="A82" s="28"/>
    </row>
    <row r="83" spans="1:1" ht="13.2" x14ac:dyDescent="0.25">
      <c r="A83" s="28"/>
    </row>
    <row r="84" spans="1:1" ht="13.2" x14ac:dyDescent="0.25">
      <c r="A84" s="28"/>
    </row>
    <row r="85" spans="1:1" ht="13.2" x14ac:dyDescent="0.25">
      <c r="A85" s="28"/>
    </row>
    <row r="86" spans="1:1" ht="13.2" x14ac:dyDescent="0.25">
      <c r="A86" s="28"/>
    </row>
    <row r="87" spans="1:1" ht="13.2" x14ac:dyDescent="0.25">
      <c r="A87" s="28"/>
    </row>
    <row r="88" spans="1:1" ht="13.2" x14ac:dyDescent="0.25">
      <c r="A88" s="28"/>
    </row>
    <row r="89" spans="1:1" ht="13.2" x14ac:dyDescent="0.25">
      <c r="A89" s="28"/>
    </row>
    <row r="90" spans="1:1" ht="13.2" x14ac:dyDescent="0.25">
      <c r="A90" s="28"/>
    </row>
    <row r="91" spans="1:1" ht="13.2" x14ac:dyDescent="0.25">
      <c r="A91" s="28"/>
    </row>
    <row r="92" spans="1:1" ht="13.2" x14ac:dyDescent="0.25">
      <c r="A92" s="28"/>
    </row>
    <row r="93" spans="1:1" ht="13.2" x14ac:dyDescent="0.25">
      <c r="A93" s="28"/>
    </row>
    <row r="94" spans="1:1" ht="13.2" x14ac:dyDescent="0.25">
      <c r="A94" s="28"/>
    </row>
    <row r="95" spans="1:1" ht="13.2" x14ac:dyDescent="0.25">
      <c r="A95" s="28"/>
    </row>
    <row r="96" spans="1:1" ht="13.2" x14ac:dyDescent="0.25">
      <c r="A96" s="28"/>
    </row>
    <row r="97" spans="1:1" ht="13.2" x14ac:dyDescent="0.25">
      <c r="A97" s="28"/>
    </row>
    <row r="98" spans="1:1" ht="13.2" x14ac:dyDescent="0.25">
      <c r="A98" s="28"/>
    </row>
    <row r="99" spans="1:1" ht="13.2" x14ac:dyDescent="0.25">
      <c r="A99" s="28"/>
    </row>
    <row r="100" spans="1:1" ht="13.2" x14ac:dyDescent="0.25">
      <c r="A100" s="28"/>
    </row>
    <row r="101" spans="1:1" ht="13.2" x14ac:dyDescent="0.25">
      <c r="A101" s="28"/>
    </row>
    <row r="102" spans="1:1" ht="13.2" x14ac:dyDescent="0.25">
      <c r="A102" s="28"/>
    </row>
    <row r="103" spans="1:1" ht="13.2" x14ac:dyDescent="0.25">
      <c r="A103" s="28"/>
    </row>
    <row r="104" spans="1:1" ht="13.2" x14ac:dyDescent="0.25">
      <c r="A104" s="28"/>
    </row>
    <row r="105" spans="1:1" ht="13.2" x14ac:dyDescent="0.25">
      <c r="A105" s="28"/>
    </row>
    <row r="106" spans="1:1" ht="13.2" x14ac:dyDescent="0.25">
      <c r="A106" s="28"/>
    </row>
    <row r="107" spans="1:1" ht="13.2" x14ac:dyDescent="0.25">
      <c r="A107" s="28"/>
    </row>
    <row r="108" spans="1:1" ht="13.2" x14ac:dyDescent="0.25">
      <c r="A108" s="28"/>
    </row>
    <row r="109" spans="1:1" ht="13.2" x14ac:dyDescent="0.25">
      <c r="A109" s="28"/>
    </row>
    <row r="110" spans="1:1" ht="13.2" x14ac:dyDescent="0.25">
      <c r="A110" s="28"/>
    </row>
    <row r="111" spans="1:1" ht="13.2" x14ac:dyDescent="0.25">
      <c r="A111" s="28"/>
    </row>
    <row r="112" spans="1:1" ht="13.2" x14ac:dyDescent="0.25">
      <c r="A112" s="28"/>
    </row>
    <row r="113" spans="1:1" ht="13.2" x14ac:dyDescent="0.25">
      <c r="A113" s="28"/>
    </row>
    <row r="114" spans="1:1" ht="13.2" x14ac:dyDescent="0.25">
      <c r="A114" s="28"/>
    </row>
    <row r="115" spans="1:1" ht="13.2" x14ac:dyDescent="0.25">
      <c r="A115" s="28"/>
    </row>
    <row r="116" spans="1:1" ht="13.2" x14ac:dyDescent="0.25">
      <c r="A116" s="28"/>
    </row>
    <row r="117" spans="1:1" ht="13.2" x14ac:dyDescent="0.25">
      <c r="A117" s="28"/>
    </row>
    <row r="118" spans="1:1" ht="13.2" x14ac:dyDescent="0.25">
      <c r="A118" s="28"/>
    </row>
    <row r="119" spans="1:1" ht="13.2" x14ac:dyDescent="0.25">
      <c r="A119" s="28"/>
    </row>
    <row r="120" spans="1:1" ht="13.2" x14ac:dyDescent="0.25">
      <c r="A120" s="28"/>
    </row>
    <row r="121" spans="1:1" ht="13.2" x14ac:dyDescent="0.25">
      <c r="A121" s="28"/>
    </row>
    <row r="122" spans="1:1" ht="13.2" x14ac:dyDescent="0.25">
      <c r="A122" s="28"/>
    </row>
    <row r="123" spans="1:1" ht="13.2" x14ac:dyDescent="0.25">
      <c r="A123" s="28"/>
    </row>
    <row r="124" spans="1:1" ht="13.2" x14ac:dyDescent="0.25">
      <c r="A124" s="28"/>
    </row>
    <row r="125" spans="1:1" ht="13.2" x14ac:dyDescent="0.25">
      <c r="A125" s="28"/>
    </row>
    <row r="126" spans="1:1" ht="13.2" x14ac:dyDescent="0.25">
      <c r="A126" s="28"/>
    </row>
    <row r="127" spans="1:1" ht="13.2" x14ac:dyDescent="0.25">
      <c r="A127" s="28"/>
    </row>
    <row r="128" spans="1:1" ht="13.2" x14ac:dyDescent="0.25">
      <c r="A128" s="28"/>
    </row>
    <row r="129" spans="1:1" ht="13.2" x14ac:dyDescent="0.25">
      <c r="A129" s="28"/>
    </row>
    <row r="130" spans="1:1" ht="13.2" x14ac:dyDescent="0.25">
      <c r="A130" s="28"/>
    </row>
    <row r="131" spans="1:1" ht="13.2" x14ac:dyDescent="0.25">
      <c r="A131" s="28"/>
    </row>
    <row r="132" spans="1:1" ht="13.2" x14ac:dyDescent="0.25">
      <c r="A132" s="28"/>
    </row>
    <row r="133" spans="1:1" ht="13.2" x14ac:dyDescent="0.25">
      <c r="A133" s="28"/>
    </row>
    <row r="134" spans="1:1" ht="13.2" x14ac:dyDescent="0.25">
      <c r="A134" s="28"/>
    </row>
    <row r="135" spans="1:1" ht="13.2" x14ac:dyDescent="0.25">
      <c r="A135" s="28"/>
    </row>
    <row r="136" spans="1:1" ht="13.2" x14ac:dyDescent="0.25">
      <c r="A136" s="28"/>
    </row>
    <row r="137" spans="1:1" ht="13.2" x14ac:dyDescent="0.25">
      <c r="A137" s="28"/>
    </row>
    <row r="138" spans="1:1" ht="13.2" x14ac:dyDescent="0.25">
      <c r="A138" s="28"/>
    </row>
    <row r="139" spans="1:1" ht="13.2" x14ac:dyDescent="0.25">
      <c r="A139" s="28"/>
    </row>
    <row r="140" spans="1:1" ht="13.2" x14ac:dyDescent="0.25">
      <c r="A140" s="28"/>
    </row>
    <row r="141" spans="1:1" ht="13.2" x14ac:dyDescent="0.25">
      <c r="A141" s="28"/>
    </row>
    <row r="142" spans="1:1" ht="13.2" x14ac:dyDescent="0.25">
      <c r="A142" s="28"/>
    </row>
    <row r="143" spans="1:1" ht="13.2" x14ac:dyDescent="0.25">
      <c r="A143" s="28"/>
    </row>
    <row r="144" spans="1:1" ht="13.2" x14ac:dyDescent="0.25">
      <c r="A144" s="28"/>
    </row>
    <row r="145" spans="1:1" ht="13.2" x14ac:dyDescent="0.25">
      <c r="A145" s="28"/>
    </row>
    <row r="146" spans="1:1" ht="13.2" x14ac:dyDescent="0.25">
      <c r="A146" s="28"/>
    </row>
    <row r="147" spans="1:1" ht="13.2" x14ac:dyDescent="0.25">
      <c r="A147" s="28"/>
    </row>
    <row r="148" spans="1:1" ht="13.2" x14ac:dyDescent="0.25">
      <c r="A148" s="28"/>
    </row>
    <row r="149" spans="1:1" ht="13.2" x14ac:dyDescent="0.25">
      <c r="A149" s="28"/>
    </row>
    <row r="150" spans="1:1" ht="13.2" x14ac:dyDescent="0.25">
      <c r="A150" s="28"/>
    </row>
    <row r="151" spans="1:1" ht="13.2" x14ac:dyDescent="0.25">
      <c r="A151" s="28"/>
    </row>
    <row r="152" spans="1:1" ht="13.2" x14ac:dyDescent="0.25">
      <c r="A152" s="28"/>
    </row>
    <row r="153" spans="1:1" ht="13.2" x14ac:dyDescent="0.25">
      <c r="A153" s="28"/>
    </row>
    <row r="154" spans="1:1" ht="13.2" x14ac:dyDescent="0.25">
      <c r="A154" s="28"/>
    </row>
    <row r="155" spans="1:1" ht="13.2" x14ac:dyDescent="0.25">
      <c r="A155" s="28"/>
    </row>
    <row r="156" spans="1:1" ht="13.2" x14ac:dyDescent="0.25">
      <c r="A156" s="28"/>
    </row>
    <row r="157" spans="1:1" ht="13.2" x14ac:dyDescent="0.25">
      <c r="A157" s="28"/>
    </row>
    <row r="158" spans="1:1" ht="13.2" x14ac:dyDescent="0.25">
      <c r="A158" s="28"/>
    </row>
    <row r="159" spans="1:1" ht="13.2" x14ac:dyDescent="0.25">
      <c r="A159" s="28"/>
    </row>
    <row r="160" spans="1:1" ht="13.2" x14ac:dyDescent="0.25">
      <c r="A160" s="28"/>
    </row>
    <row r="161" spans="1:1" ht="13.2" x14ac:dyDescent="0.25">
      <c r="A161" s="28"/>
    </row>
    <row r="162" spans="1:1" ht="13.2" x14ac:dyDescent="0.25">
      <c r="A162" s="28"/>
    </row>
    <row r="163" spans="1:1" ht="13.2" x14ac:dyDescent="0.25">
      <c r="A163" s="28"/>
    </row>
    <row r="164" spans="1:1" ht="13.2" x14ac:dyDescent="0.25">
      <c r="A164" s="28"/>
    </row>
    <row r="165" spans="1:1" ht="13.2" x14ac:dyDescent="0.25">
      <c r="A165" s="28"/>
    </row>
    <row r="166" spans="1:1" ht="13.2" x14ac:dyDescent="0.25">
      <c r="A166" s="28"/>
    </row>
    <row r="167" spans="1:1" ht="13.2" x14ac:dyDescent="0.25">
      <c r="A167" s="28"/>
    </row>
    <row r="168" spans="1:1" ht="13.2" x14ac:dyDescent="0.25">
      <c r="A168" s="28"/>
    </row>
    <row r="169" spans="1:1" ht="13.2" x14ac:dyDescent="0.25">
      <c r="A169" s="28"/>
    </row>
    <row r="170" spans="1:1" ht="13.2" x14ac:dyDescent="0.25">
      <c r="A170" s="28"/>
    </row>
    <row r="171" spans="1:1" ht="13.2" x14ac:dyDescent="0.25">
      <c r="A171" s="28"/>
    </row>
    <row r="172" spans="1:1" ht="13.2" x14ac:dyDescent="0.25">
      <c r="A172" s="28"/>
    </row>
    <row r="173" spans="1:1" ht="13.2" x14ac:dyDescent="0.25">
      <c r="A173" s="28"/>
    </row>
    <row r="174" spans="1:1" ht="13.2" x14ac:dyDescent="0.25">
      <c r="A174" s="28"/>
    </row>
    <row r="175" spans="1:1" ht="13.2" x14ac:dyDescent="0.25">
      <c r="A175" s="28"/>
    </row>
    <row r="176" spans="1:1" ht="13.2" x14ac:dyDescent="0.25">
      <c r="A176" s="28"/>
    </row>
    <row r="177" spans="1:1" ht="13.2" x14ac:dyDescent="0.25">
      <c r="A177" s="28"/>
    </row>
    <row r="178" spans="1:1" ht="13.2" x14ac:dyDescent="0.25">
      <c r="A178" s="28"/>
    </row>
    <row r="179" spans="1:1" ht="13.2" x14ac:dyDescent="0.25">
      <c r="A179" s="28"/>
    </row>
    <row r="180" spans="1:1" ht="13.2" x14ac:dyDescent="0.25">
      <c r="A180" s="28"/>
    </row>
    <row r="181" spans="1:1" ht="13.2" x14ac:dyDescent="0.25">
      <c r="A181" s="28"/>
    </row>
    <row r="182" spans="1:1" ht="13.2" x14ac:dyDescent="0.25">
      <c r="A182" s="28"/>
    </row>
    <row r="183" spans="1:1" ht="13.2" x14ac:dyDescent="0.25">
      <c r="A183" s="28"/>
    </row>
    <row r="184" spans="1:1" ht="13.2" x14ac:dyDescent="0.25">
      <c r="A184" s="28"/>
    </row>
    <row r="185" spans="1:1" ht="13.2" x14ac:dyDescent="0.25">
      <c r="A185" s="28"/>
    </row>
    <row r="186" spans="1:1" ht="13.2" x14ac:dyDescent="0.25">
      <c r="A186" s="28"/>
    </row>
    <row r="187" spans="1:1" ht="13.2" x14ac:dyDescent="0.25">
      <c r="A187" s="28"/>
    </row>
    <row r="188" spans="1:1" ht="13.2" x14ac:dyDescent="0.25">
      <c r="A188" s="28"/>
    </row>
    <row r="189" spans="1:1" ht="13.2" x14ac:dyDescent="0.25">
      <c r="A189" s="28"/>
    </row>
    <row r="190" spans="1:1" ht="13.2" x14ac:dyDescent="0.25">
      <c r="A190" s="28"/>
    </row>
    <row r="191" spans="1:1" ht="13.2" x14ac:dyDescent="0.25">
      <c r="A191" s="28"/>
    </row>
    <row r="192" spans="1:1" ht="13.2" x14ac:dyDescent="0.25">
      <c r="A192" s="28"/>
    </row>
    <row r="193" spans="1:1" ht="13.2" x14ac:dyDescent="0.25">
      <c r="A193" s="28"/>
    </row>
    <row r="194" spans="1:1" ht="13.2" x14ac:dyDescent="0.25">
      <c r="A194" s="28"/>
    </row>
    <row r="195" spans="1:1" ht="13.2" x14ac:dyDescent="0.25">
      <c r="A195" s="28"/>
    </row>
    <row r="196" spans="1:1" ht="13.2" x14ac:dyDescent="0.25">
      <c r="A196" s="28"/>
    </row>
    <row r="197" spans="1:1" ht="13.2" x14ac:dyDescent="0.25">
      <c r="A197" s="28"/>
    </row>
    <row r="198" spans="1:1" ht="13.2" x14ac:dyDescent="0.25">
      <c r="A198" s="28"/>
    </row>
    <row r="199" spans="1:1" ht="13.2" x14ac:dyDescent="0.25">
      <c r="A199" s="28"/>
    </row>
    <row r="200" spans="1:1" ht="13.2" x14ac:dyDescent="0.25">
      <c r="A200" s="28"/>
    </row>
    <row r="201" spans="1:1" ht="13.2" x14ac:dyDescent="0.25">
      <c r="A201" s="28"/>
    </row>
    <row r="202" spans="1:1" ht="13.2" x14ac:dyDescent="0.25">
      <c r="A202" s="28"/>
    </row>
    <row r="203" spans="1:1" ht="13.2" x14ac:dyDescent="0.25">
      <c r="A203" s="28"/>
    </row>
    <row r="204" spans="1:1" ht="13.2" x14ac:dyDescent="0.25">
      <c r="A204" s="28"/>
    </row>
    <row r="205" spans="1:1" ht="13.2" x14ac:dyDescent="0.25">
      <c r="A205" s="28"/>
    </row>
    <row r="206" spans="1:1" ht="13.2" x14ac:dyDescent="0.25">
      <c r="A206" s="28"/>
    </row>
    <row r="207" spans="1:1" ht="13.2" x14ac:dyDescent="0.25">
      <c r="A207" s="28"/>
    </row>
    <row r="208" spans="1:1" ht="13.2" x14ac:dyDescent="0.25">
      <c r="A208" s="28"/>
    </row>
    <row r="209" spans="1:1" ht="13.2" x14ac:dyDescent="0.25">
      <c r="A209" s="28"/>
    </row>
    <row r="210" spans="1:1" ht="13.2" x14ac:dyDescent="0.25">
      <c r="A210" s="28"/>
    </row>
    <row r="211" spans="1:1" ht="13.2" x14ac:dyDescent="0.25">
      <c r="A211" s="28"/>
    </row>
    <row r="212" spans="1:1" ht="13.2" x14ac:dyDescent="0.25">
      <c r="A212" s="28"/>
    </row>
    <row r="213" spans="1:1" ht="13.2" x14ac:dyDescent="0.25">
      <c r="A213" s="28"/>
    </row>
    <row r="214" spans="1:1" ht="13.2" x14ac:dyDescent="0.25">
      <c r="A214" s="28"/>
    </row>
    <row r="215" spans="1:1" ht="13.2" x14ac:dyDescent="0.25">
      <c r="A215" s="28"/>
    </row>
    <row r="216" spans="1:1" ht="13.2" x14ac:dyDescent="0.25">
      <c r="A216" s="28"/>
    </row>
    <row r="217" spans="1:1" ht="13.2" x14ac:dyDescent="0.25">
      <c r="A217" s="28"/>
    </row>
    <row r="218" spans="1:1" ht="13.2" x14ac:dyDescent="0.25">
      <c r="A218" s="28"/>
    </row>
    <row r="219" spans="1:1" ht="13.2" x14ac:dyDescent="0.25">
      <c r="A219" s="28"/>
    </row>
    <row r="220" spans="1:1" ht="13.2" x14ac:dyDescent="0.25">
      <c r="A220" s="28"/>
    </row>
    <row r="221" spans="1:1" ht="13.2" x14ac:dyDescent="0.25">
      <c r="A221" s="28"/>
    </row>
    <row r="222" spans="1:1" ht="13.2" x14ac:dyDescent="0.25">
      <c r="A222" s="28"/>
    </row>
    <row r="223" spans="1:1" ht="13.2" x14ac:dyDescent="0.25">
      <c r="A223" s="28"/>
    </row>
    <row r="224" spans="1:1" ht="13.2" x14ac:dyDescent="0.25">
      <c r="A224" s="28"/>
    </row>
    <row r="225" spans="1:1" ht="13.2" x14ac:dyDescent="0.25">
      <c r="A225" s="28"/>
    </row>
    <row r="226" spans="1:1" ht="13.2" x14ac:dyDescent="0.25">
      <c r="A226" s="28"/>
    </row>
    <row r="227" spans="1:1" ht="13.2" x14ac:dyDescent="0.25">
      <c r="A227" s="28"/>
    </row>
    <row r="228" spans="1:1" ht="13.2" x14ac:dyDescent="0.25">
      <c r="A228" s="28"/>
    </row>
    <row r="229" spans="1:1" ht="13.2" x14ac:dyDescent="0.25">
      <c r="A229" s="28"/>
    </row>
    <row r="230" spans="1:1" ht="13.2" x14ac:dyDescent="0.25">
      <c r="A230" s="28"/>
    </row>
    <row r="231" spans="1:1" ht="13.2" x14ac:dyDescent="0.25">
      <c r="A231" s="28"/>
    </row>
    <row r="232" spans="1:1" ht="13.2" x14ac:dyDescent="0.25">
      <c r="A232" s="28"/>
    </row>
    <row r="233" spans="1:1" ht="13.2" x14ac:dyDescent="0.25">
      <c r="A233" s="28"/>
    </row>
    <row r="234" spans="1:1" ht="13.2" x14ac:dyDescent="0.25">
      <c r="A234" s="28"/>
    </row>
    <row r="235" spans="1:1" ht="13.2" x14ac:dyDescent="0.25">
      <c r="A235" s="28"/>
    </row>
    <row r="236" spans="1:1" ht="13.2" x14ac:dyDescent="0.25">
      <c r="A236" s="28"/>
    </row>
    <row r="237" spans="1:1" ht="13.2" x14ac:dyDescent="0.25">
      <c r="A237" s="28"/>
    </row>
    <row r="238" spans="1:1" ht="13.2" x14ac:dyDescent="0.25">
      <c r="A238" s="28"/>
    </row>
    <row r="239" spans="1:1" ht="13.2" x14ac:dyDescent="0.25">
      <c r="A239" s="28"/>
    </row>
    <row r="240" spans="1:1" ht="13.2" x14ac:dyDescent="0.25">
      <c r="A240" s="28"/>
    </row>
    <row r="241" spans="1:1" ht="13.2" x14ac:dyDescent="0.25">
      <c r="A241" s="28"/>
    </row>
    <row r="242" spans="1:1" ht="13.2" x14ac:dyDescent="0.25">
      <c r="A242" s="28"/>
    </row>
    <row r="243" spans="1:1" ht="13.2" x14ac:dyDescent="0.25">
      <c r="A243" s="28"/>
    </row>
    <row r="244" spans="1:1" ht="13.2" x14ac:dyDescent="0.25">
      <c r="A244" s="28"/>
    </row>
    <row r="245" spans="1:1" ht="13.2" x14ac:dyDescent="0.25">
      <c r="A245" s="28"/>
    </row>
    <row r="246" spans="1:1" ht="13.2" x14ac:dyDescent="0.25">
      <c r="A246" s="28"/>
    </row>
    <row r="247" spans="1:1" ht="13.2" x14ac:dyDescent="0.25">
      <c r="A247" s="28"/>
    </row>
    <row r="248" spans="1:1" ht="13.2" x14ac:dyDescent="0.25">
      <c r="A248" s="28"/>
    </row>
    <row r="249" spans="1:1" ht="13.2" x14ac:dyDescent="0.25">
      <c r="A249" s="28"/>
    </row>
    <row r="250" spans="1:1" ht="13.2" x14ac:dyDescent="0.25">
      <c r="A250" s="28"/>
    </row>
    <row r="251" spans="1:1" ht="13.2" x14ac:dyDescent="0.25">
      <c r="A251" s="28"/>
    </row>
    <row r="252" spans="1:1" ht="13.2" x14ac:dyDescent="0.25">
      <c r="A252" s="28"/>
    </row>
    <row r="253" spans="1:1" ht="13.2" x14ac:dyDescent="0.25">
      <c r="A253" s="28"/>
    </row>
    <row r="254" spans="1:1" ht="13.2" x14ac:dyDescent="0.25">
      <c r="A254" s="28"/>
    </row>
    <row r="255" spans="1:1" ht="13.2" x14ac:dyDescent="0.25">
      <c r="A255" s="28"/>
    </row>
    <row r="256" spans="1:1" ht="13.2" x14ac:dyDescent="0.25">
      <c r="A256" s="28"/>
    </row>
    <row r="257" spans="1:1" ht="13.2" x14ac:dyDescent="0.25">
      <c r="A257" s="28"/>
    </row>
    <row r="258" spans="1:1" ht="13.2" x14ac:dyDescent="0.25">
      <c r="A258" s="28"/>
    </row>
    <row r="259" spans="1:1" ht="13.2" x14ac:dyDescent="0.25">
      <c r="A259" s="28"/>
    </row>
    <row r="260" spans="1:1" ht="13.2" x14ac:dyDescent="0.25">
      <c r="A260" s="28"/>
    </row>
    <row r="261" spans="1:1" ht="13.2" x14ac:dyDescent="0.25">
      <c r="A261" s="28"/>
    </row>
    <row r="262" spans="1:1" ht="13.2" x14ac:dyDescent="0.25">
      <c r="A262" s="28"/>
    </row>
    <row r="263" spans="1:1" ht="13.2" x14ac:dyDescent="0.25">
      <c r="A263" s="28"/>
    </row>
    <row r="264" spans="1:1" ht="13.2" x14ac:dyDescent="0.25">
      <c r="A264" s="28"/>
    </row>
    <row r="265" spans="1:1" ht="13.2" x14ac:dyDescent="0.25">
      <c r="A265" s="28"/>
    </row>
    <row r="266" spans="1:1" ht="13.2" x14ac:dyDescent="0.25">
      <c r="A266" s="28"/>
    </row>
    <row r="267" spans="1:1" ht="13.2" x14ac:dyDescent="0.25">
      <c r="A267" s="28"/>
    </row>
    <row r="268" spans="1:1" ht="13.2" x14ac:dyDescent="0.25">
      <c r="A268" s="28"/>
    </row>
    <row r="269" spans="1:1" ht="13.2" x14ac:dyDescent="0.25">
      <c r="A269" s="28"/>
    </row>
    <row r="270" spans="1:1" ht="13.2" x14ac:dyDescent="0.25">
      <c r="A270" s="28"/>
    </row>
    <row r="271" spans="1:1" ht="13.2" x14ac:dyDescent="0.25">
      <c r="A271" s="28"/>
    </row>
    <row r="272" spans="1:1" ht="13.2" x14ac:dyDescent="0.25">
      <c r="A272" s="28"/>
    </row>
    <row r="273" spans="1:1" ht="13.2" x14ac:dyDescent="0.25">
      <c r="A273" s="28"/>
    </row>
    <row r="274" spans="1:1" ht="13.2" x14ac:dyDescent="0.25">
      <c r="A274" s="28"/>
    </row>
    <row r="275" spans="1:1" ht="13.2" x14ac:dyDescent="0.25">
      <c r="A275" s="28"/>
    </row>
    <row r="276" spans="1:1" ht="13.2" x14ac:dyDescent="0.25">
      <c r="A276" s="28"/>
    </row>
    <row r="277" spans="1:1" ht="13.2" x14ac:dyDescent="0.25">
      <c r="A277" s="28"/>
    </row>
    <row r="278" spans="1:1" ht="13.2" x14ac:dyDescent="0.25">
      <c r="A278" s="28"/>
    </row>
    <row r="279" spans="1:1" ht="13.2" x14ac:dyDescent="0.25">
      <c r="A279" s="28"/>
    </row>
    <row r="280" spans="1:1" ht="13.2" x14ac:dyDescent="0.25">
      <c r="A280" s="28"/>
    </row>
    <row r="281" spans="1:1" ht="13.2" x14ac:dyDescent="0.25">
      <c r="A281" s="28"/>
    </row>
    <row r="282" spans="1:1" ht="13.2" x14ac:dyDescent="0.25">
      <c r="A282" s="28"/>
    </row>
    <row r="283" spans="1:1" ht="13.2" x14ac:dyDescent="0.25">
      <c r="A283" s="28"/>
    </row>
    <row r="284" spans="1:1" ht="13.2" x14ac:dyDescent="0.25">
      <c r="A284" s="28"/>
    </row>
    <row r="285" spans="1:1" ht="13.2" x14ac:dyDescent="0.25">
      <c r="A285" s="28"/>
    </row>
    <row r="286" spans="1:1" ht="13.2" x14ac:dyDescent="0.25">
      <c r="A286" s="28"/>
    </row>
    <row r="287" spans="1:1" ht="13.2" x14ac:dyDescent="0.25">
      <c r="A287" s="28"/>
    </row>
    <row r="288" spans="1:1" ht="13.2" x14ac:dyDescent="0.25">
      <c r="A288" s="28"/>
    </row>
    <row r="289" spans="1:1" ht="13.2" x14ac:dyDescent="0.25">
      <c r="A289" s="28"/>
    </row>
    <row r="290" spans="1:1" ht="13.2" x14ac:dyDescent="0.25">
      <c r="A290" s="28"/>
    </row>
    <row r="291" spans="1:1" ht="13.2" x14ac:dyDescent="0.25">
      <c r="A291" s="28"/>
    </row>
    <row r="292" spans="1:1" ht="13.2" x14ac:dyDescent="0.25">
      <c r="A292" s="28"/>
    </row>
    <row r="293" spans="1:1" ht="13.2" x14ac:dyDescent="0.25">
      <c r="A293" s="28"/>
    </row>
    <row r="294" spans="1:1" ht="13.2" x14ac:dyDescent="0.25">
      <c r="A294" s="28"/>
    </row>
    <row r="295" spans="1:1" ht="13.2" x14ac:dyDescent="0.25">
      <c r="A295" s="28"/>
    </row>
    <row r="296" spans="1:1" ht="13.2" x14ac:dyDescent="0.25">
      <c r="A296" s="28"/>
    </row>
    <row r="297" spans="1:1" ht="13.2" x14ac:dyDescent="0.25">
      <c r="A297" s="28"/>
    </row>
    <row r="298" spans="1:1" ht="13.2" x14ac:dyDescent="0.25">
      <c r="A298" s="28"/>
    </row>
    <row r="299" spans="1:1" ht="13.2" x14ac:dyDescent="0.25">
      <c r="A299" s="28"/>
    </row>
    <row r="300" spans="1:1" ht="13.2" x14ac:dyDescent="0.25">
      <c r="A300" s="28"/>
    </row>
    <row r="301" spans="1:1" ht="13.2" x14ac:dyDescent="0.25">
      <c r="A301" s="28"/>
    </row>
    <row r="302" spans="1:1" ht="13.2" x14ac:dyDescent="0.25">
      <c r="A302" s="28"/>
    </row>
    <row r="303" spans="1:1" ht="13.2" x14ac:dyDescent="0.25">
      <c r="A303" s="28"/>
    </row>
    <row r="304" spans="1:1" ht="13.2" x14ac:dyDescent="0.25">
      <c r="A304" s="28"/>
    </row>
    <row r="305" spans="1:1" ht="13.2" x14ac:dyDescent="0.25">
      <c r="A305" s="28"/>
    </row>
    <row r="306" spans="1:1" ht="13.2" x14ac:dyDescent="0.25">
      <c r="A306" s="28"/>
    </row>
    <row r="307" spans="1:1" ht="13.2" x14ac:dyDescent="0.25">
      <c r="A307" s="28"/>
    </row>
    <row r="308" spans="1:1" ht="13.2" x14ac:dyDescent="0.25">
      <c r="A308" s="28"/>
    </row>
    <row r="309" spans="1:1" ht="13.2" x14ac:dyDescent="0.25">
      <c r="A309" s="28"/>
    </row>
    <row r="310" spans="1:1" ht="13.2" x14ac:dyDescent="0.25">
      <c r="A310" s="28"/>
    </row>
    <row r="311" spans="1:1" ht="13.2" x14ac:dyDescent="0.25">
      <c r="A311" s="28"/>
    </row>
    <row r="312" spans="1:1" ht="13.2" x14ac:dyDescent="0.25">
      <c r="A312" s="28"/>
    </row>
    <row r="313" spans="1:1" ht="13.2" x14ac:dyDescent="0.25">
      <c r="A313" s="28"/>
    </row>
    <row r="314" spans="1:1" ht="13.2" x14ac:dyDescent="0.25">
      <c r="A314" s="28"/>
    </row>
    <row r="315" spans="1:1" ht="13.2" x14ac:dyDescent="0.25">
      <c r="A315" s="28"/>
    </row>
    <row r="316" spans="1:1" ht="13.2" x14ac:dyDescent="0.25">
      <c r="A316" s="28"/>
    </row>
    <row r="317" spans="1:1" ht="13.2" x14ac:dyDescent="0.25">
      <c r="A317" s="28"/>
    </row>
    <row r="318" spans="1:1" ht="13.2" x14ac:dyDescent="0.25">
      <c r="A318" s="28"/>
    </row>
    <row r="319" spans="1:1" ht="13.2" x14ac:dyDescent="0.25">
      <c r="A319" s="28"/>
    </row>
    <row r="320" spans="1:1" ht="13.2" x14ac:dyDescent="0.25">
      <c r="A320" s="28"/>
    </row>
    <row r="321" spans="1:1" ht="13.2" x14ac:dyDescent="0.25">
      <c r="A321" s="28"/>
    </row>
    <row r="322" spans="1:1" ht="13.2" x14ac:dyDescent="0.25">
      <c r="A322" s="28"/>
    </row>
    <row r="323" spans="1:1" ht="13.2" x14ac:dyDescent="0.25">
      <c r="A323" s="28"/>
    </row>
    <row r="324" spans="1:1" ht="13.2" x14ac:dyDescent="0.25">
      <c r="A324" s="28"/>
    </row>
    <row r="325" spans="1:1" ht="13.2" x14ac:dyDescent="0.25">
      <c r="A325" s="28"/>
    </row>
    <row r="326" spans="1:1" ht="13.2" x14ac:dyDescent="0.25">
      <c r="A326" s="28"/>
    </row>
    <row r="327" spans="1:1" ht="13.2" x14ac:dyDescent="0.25">
      <c r="A327" s="28"/>
    </row>
    <row r="328" spans="1:1" ht="13.2" x14ac:dyDescent="0.25">
      <c r="A328" s="28"/>
    </row>
    <row r="329" spans="1:1" ht="13.2" x14ac:dyDescent="0.25">
      <c r="A329" s="28"/>
    </row>
    <row r="330" spans="1:1" ht="13.2" x14ac:dyDescent="0.25">
      <c r="A330" s="28"/>
    </row>
    <row r="331" spans="1:1" ht="13.2" x14ac:dyDescent="0.25">
      <c r="A331" s="28"/>
    </row>
    <row r="332" spans="1:1" ht="13.2" x14ac:dyDescent="0.25">
      <c r="A332" s="28"/>
    </row>
    <row r="333" spans="1:1" ht="13.2" x14ac:dyDescent="0.25">
      <c r="A333" s="28"/>
    </row>
    <row r="334" spans="1:1" ht="13.2" x14ac:dyDescent="0.25">
      <c r="A334" s="28"/>
    </row>
    <row r="335" spans="1:1" ht="13.2" x14ac:dyDescent="0.25">
      <c r="A335" s="28"/>
    </row>
    <row r="336" spans="1:1" ht="13.2" x14ac:dyDescent="0.25">
      <c r="A336" s="28"/>
    </row>
    <row r="337" spans="1:1" ht="13.2" x14ac:dyDescent="0.25">
      <c r="A337" s="28"/>
    </row>
    <row r="338" spans="1:1" ht="13.2" x14ac:dyDescent="0.25">
      <c r="A338" s="28"/>
    </row>
    <row r="339" spans="1:1" ht="13.2" x14ac:dyDescent="0.25">
      <c r="A339" s="28"/>
    </row>
    <row r="340" spans="1:1" ht="13.2" x14ac:dyDescent="0.25">
      <c r="A340" s="28"/>
    </row>
    <row r="341" spans="1:1" ht="13.2" x14ac:dyDescent="0.25">
      <c r="A341" s="28"/>
    </row>
    <row r="342" spans="1:1" ht="13.2" x14ac:dyDescent="0.25">
      <c r="A342" s="28"/>
    </row>
    <row r="343" spans="1:1" ht="13.2" x14ac:dyDescent="0.25">
      <c r="A343" s="28"/>
    </row>
    <row r="344" spans="1:1" ht="13.2" x14ac:dyDescent="0.25">
      <c r="A344" s="28"/>
    </row>
    <row r="345" spans="1:1" ht="13.2" x14ac:dyDescent="0.25">
      <c r="A345" s="28"/>
    </row>
    <row r="346" spans="1:1" ht="13.2" x14ac:dyDescent="0.25">
      <c r="A346" s="28"/>
    </row>
    <row r="347" spans="1:1" ht="13.2" x14ac:dyDescent="0.25">
      <c r="A347" s="28"/>
    </row>
    <row r="348" spans="1:1" ht="13.2" x14ac:dyDescent="0.25">
      <c r="A348" s="28"/>
    </row>
    <row r="349" spans="1:1" ht="13.2" x14ac:dyDescent="0.25">
      <c r="A349" s="28"/>
    </row>
    <row r="350" spans="1:1" ht="13.2" x14ac:dyDescent="0.25">
      <c r="A350" s="28"/>
    </row>
    <row r="351" spans="1:1" ht="13.2" x14ac:dyDescent="0.25">
      <c r="A351" s="28"/>
    </row>
    <row r="352" spans="1:1" ht="13.2" x14ac:dyDescent="0.25">
      <c r="A352" s="28"/>
    </row>
    <row r="353" spans="1:1" ht="13.2" x14ac:dyDescent="0.25">
      <c r="A353" s="28"/>
    </row>
    <row r="354" spans="1:1" ht="13.2" x14ac:dyDescent="0.25">
      <c r="A354" s="28"/>
    </row>
    <row r="355" spans="1:1" ht="13.2" x14ac:dyDescent="0.25">
      <c r="A355" s="28"/>
    </row>
    <row r="356" spans="1:1" ht="13.2" x14ac:dyDescent="0.25">
      <c r="A356" s="28"/>
    </row>
    <row r="357" spans="1:1" ht="13.2" x14ac:dyDescent="0.25">
      <c r="A357" s="28"/>
    </row>
    <row r="358" spans="1:1" ht="13.2" x14ac:dyDescent="0.25">
      <c r="A358" s="28"/>
    </row>
    <row r="359" spans="1:1" ht="13.2" x14ac:dyDescent="0.25">
      <c r="A359" s="28"/>
    </row>
    <row r="360" spans="1:1" ht="13.2" x14ac:dyDescent="0.25">
      <c r="A360" s="28"/>
    </row>
    <row r="361" spans="1:1" ht="13.2" x14ac:dyDescent="0.25">
      <c r="A361" s="28"/>
    </row>
    <row r="362" spans="1:1" ht="13.2" x14ac:dyDescent="0.25">
      <c r="A362" s="28"/>
    </row>
    <row r="363" spans="1:1" ht="13.2" x14ac:dyDescent="0.25">
      <c r="A363" s="28"/>
    </row>
    <row r="364" spans="1:1" ht="13.2" x14ac:dyDescent="0.25">
      <c r="A364" s="28"/>
    </row>
    <row r="365" spans="1:1" ht="13.2" x14ac:dyDescent="0.25">
      <c r="A365" s="28"/>
    </row>
    <row r="366" spans="1:1" ht="13.2" x14ac:dyDescent="0.25">
      <c r="A366" s="28"/>
    </row>
    <row r="367" spans="1:1" ht="13.2" x14ac:dyDescent="0.25">
      <c r="A367" s="28"/>
    </row>
    <row r="368" spans="1:1" ht="13.2" x14ac:dyDescent="0.25">
      <c r="A368" s="28"/>
    </row>
    <row r="369" spans="1:1" ht="13.2" x14ac:dyDescent="0.25">
      <c r="A369" s="28"/>
    </row>
    <row r="370" spans="1:1" ht="13.2" x14ac:dyDescent="0.25">
      <c r="A370" s="28"/>
    </row>
    <row r="371" spans="1:1" ht="13.2" x14ac:dyDescent="0.25">
      <c r="A371" s="28"/>
    </row>
    <row r="372" spans="1:1" ht="13.2" x14ac:dyDescent="0.25">
      <c r="A372" s="28"/>
    </row>
    <row r="373" spans="1:1" ht="13.2" x14ac:dyDescent="0.25">
      <c r="A373" s="28"/>
    </row>
    <row r="374" spans="1:1" ht="13.2" x14ac:dyDescent="0.25">
      <c r="A374" s="28"/>
    </row>
    <row r="375" spans="1:1" ht="13.2" x14ac:dyDescent="0.25">
      <c r="A375" s="28"/>
    </row>
    <row r="376" spans="1:1" ht="13.2" x14ac:dyDescent="0.25">
      <c r="A376" s="28"/>
    </row>
    <row r="377" spans="1:1" ht="13.2" x14ac:dyDescent="0.25">
      <c r="A377" s="28"/>
    </row>
    <row r="378" spans="1:1" ht="13.2" x14ac:dyDescent="0.25">
      <c r="A378" s="28"/>
    </row>
    <row r="379" spans="1:1" ht="13.2" x14ac:dyDescent="0.25">
      <c r="A379" s="28"/>
    </row>
    <row r="380" spans="1:1" ht="13.2" x14ac:dyDescent="0.25">
      <c r="A380" s="28"/>
    </row>
    <row r="381" spans="1:1" ht="13.2" x14ac:dyDescent="0.25">
      <c r="A381" s="28"/>
    </row>
    <row r="382" spans="1:1" ht="13.2" x14ac:dyDescent="0.25">
      <c r="A382" s="28"/>
    </row>
    <row r="383" spans="1:1" ht="13.2" x14ac:dyDescent="0.25">
      <c r="A383" s="28"/>
    </row>
    <row r="384" spans="1:1" ht="13.2" x14ac:dyDescent="0.25">
      <c r="A384" s="28"/>
    </row>
    <row r="385" spans="1:1" ht="13.2" x14ac:dyDescent="0.25">
      <c r="A385" s="28"/>
    </row>
    <row r="386" spans="1:1" ht="13.2" x14ac:dyDescent="0.25">
      <c r="A386" s="28"/>
    </row>
    <row r="387" spans="1:1" ht="13.2" x14ac:dyDescent="0.25">
      <c r="A387" s="28"/>
    </row>
    <row r="388" spans="1:1" ht="13.2" x14ac:dyDescent="0.25">
      <c r="A388" s="28"/>
    </row>
    <row r="389" spans="1:1" ht="13.2" x14ac:dyDescent="0.25">
      <c r="A389" s="28"/>
    </row>
    <row r="390" spans="1:1" ht="13.2" x14ac:dyDescent="0.25">
      <c r="A390" s="28"/>
    </row>
    <row r="391" spans="1:1" ht="13.2" x14ac:dyDescent="0.25">
      <c r="A391" s="28"/>
    </row>
    <row r="392" spans="1:1" ht="13.2" x14ac:dyDescent="0.25">
      <c r="A392" s="28"/>
    </row>
    <row r="393" spans="1:1" ht="13.2" x14ac:dyDescent="0.25">
      <c r="A393" s="28"/>
    </row>
    <row r="394" spans="1:1" ht="13.2" x14ac:dyDescent="0.25">
      <c r="A394" s="28"/>
    </row>
    <row r="395" spans="1:1" ht="13.2" x14ac:dyDescent="0.25">
      <c r="A395" s="28"/>
    </row>
    <row r="396" spans="1:1" ht="13.2" x14ac:dyDescent="0.25">
      <c r="A396" s="28"/>
    </row>
    <row r="397" spans="1:1" ht="13.2" x14ac:dyDescent="0.25">
      <c r="A397" s="28"/>
    </row>
    <row r="398" spans="1:1" ht="13.2" x14ac:dyDescent="0.25">
      <c r="A398" s="28"/>
    </row>
    <row r="399" spans="1:1" ht="13.2" x14ac:dyDescent="0.25">
      <c r="A399" s="28"/>
    </row>
    <row r="400" spans="1:1" ht="13.2" x14ac:dyDescent="0.25">
      <c r="A400" s="28"/>
    </row>
    <row r="401" spans="1:1" ht="13.2" x14ac:dyDescent="0.25">
      <c r="A401" s="28"/>
    </row>
    <row r="402" spans="1:1" ht="13.2" x14ac:dyDescent="0.25">
      <c r="A402" s="28"/>
    </row>
    <row r="403" spans="1:1" ht="13.2" x14ac:dyDescent="0.25">
      <c r="A403" s="28"/>
    </row>
    <row r="404" spans="1:1" ht="13.2" x14ac:dyDescent="0.25">
      <c r="A404" s="28"/>
    </row>
    <row r="405" spans="1:1" ht="13.2" x14ac:dyDescent="0.25">
      <c r="A405" s="28"/>
    </row>
    <row r="406" spans="1:1" ht="13.2" x14ac:dyDescent="0.25">
      <c r="A406" s="28"/>
    </row>
    <row r="407" spans="1:1" ht="13.2" x14ac:dyDescent="0.25">
      <c r="A407" s="28"/>
    </row>
    <row r="408" spans="1:1" ht="13.2" x14ac:dyDescent="0.25">
      <c r="A408" s="28"/>
    </row>
    <row r="409" spans="1:1" ht="13.2" x14ac:dyDescent="0.25">
      <c r="A409" s="28"/>
    </row>
    <row r="410" spans="1:1" ht="13.2" x14ac:dyDescent="0.25">
      <c r="A410" s="28"/>
    </row>
    <row r="411" spans="1:1" ht="13.2" x14ac:dyDescent="0.25">
      <c r="A411" s="28"/>
    </row>
    <row r="412" spans="1:1" ht="13.2" x14ac:dyDescent="0.25">
      <c r="A412" s="28"/>
    </row>
    <row r="413" spans="1:1" ht="13.2" x14ac:dyDescent="0.25">
      <c r="A413" s="28"/>
    </row>
    <row r="414" spans="1:1" ht="13.2" x14ac:dyDescent="0.25">
      <c r="A414" s="28"/>
    </row>
    <row r="415" spans="1:1" ht="13.2" x14ac:dyDescent="0.25">
      <c r="A415" s="28"/>
    </row>
    <row r="416" spans="1:1" ht="13.2" x14ac:dyDescent="0.25">
      <c r="A416" s="28"/>
    </row>
    <row r="417" spans="1:1" ht="13.2" x14ac:dyDescent="0.25">
      <c r="A417" s="28"/>
    </row>
    <row r="418" spans="1:1" ht="13.2" x14ac:dyDescent="0.25">
      <c r="A418" s="28"/>
    </row>
    <row r="419" spans="1:1" ht="13.2" x14ac:dyDescent="0.25">
      <c r="A419" s="28"/>
    </row>
    <row r="420" spans="1:1" ht="13.2" x14ac:dyDescent="0.25">
      <c r="A420" s="28"/>
    </row>
    <row r="421" spans="1:1" ht="13.2" x14ac:dyDescent="0.25">
      <c r="A421" s="28"/>
    </row>
    <row r="422" spans="1:1" ht="13.2" x14ac:dyDescent="0.25">
      <c r="A422" s="28"/>
    </row>
    <row r="423" spans="1:1" ht="13.2" x14ac:dyDescent="0.25">
      <c r="A423" s="28"/>
    </row>
    <row r="424" spans="1:1" ht="13.2" x14ac:dyDescent="0.25">
      <c r="A424" s="28"/>
    </row>
    <row r="425" spans="1:1" ht="13.2" x14ac:dyDescent="0.25">
      <c r="A425" s="28"/>
    </row>
    <row r="426" spans="1:1" ht="13.2" x14ac:dyDescent="0.25">
      <c r="A426" s="28"/>
    </row>
    <row r="427" spans="1:1" ht="13.2" x14ac:dyDescent="0.25">
      <c r="A427" s="28"/>
    </row>
    <row r="428" spans="1:1" ht="13.2" x14ac:dyDescent="0.25">
      <c r="A428" s="28"/>
    </row>
    <row r="429" spans="1:1" ht="13.2" x14ac:dyDescent="0.25">
      <c r="A429" s="28"/>
    </row>
    <row r="430" spans="1:1" ht="13.2" x14ac:dyDescent="0.25">
      <c r="A430" s="28"/>
    </row>
    <row r="431" spans="1:1" ht="13.2" x14ac:dyDescent="0.25">
      <c r="A431" s="28"/>
    </row>
    <row r="432" spans="1:1" ht="13.2" x14ac:dyDescent="0.25">
      <c r="A432" s="28"/>
    </row>
    <row r="433" spans="1:1" ht="13.2" x14ac:dyDescent="0.25">
      <c r="A433" s="28"/>
    </row>
    <row r="434" spans="1:1" ht="13.2" x14ac:dyDescent="0.25">
      <c r="A434" s="28"/>
    </row>
    <row r="435" spans="1:1" ht="13.2" x14ac:dyDescent="0.25">
      <c r="A435" s="28"/>
    </row>
    <row r="436" spans="1:1" ht="13.2" x14ac:dyDescent="0.25">
      <c r="A436" s="28"/>
    </row>
    <row r="437" spans="1:1" ht="13.2" x14ac:dyDescent="0.25">
      <c r="A437" s="28"/>
    </row>
    <row r="438" spans="1:1" ht="13.2" x14ac:dyDescent="0.25">
      <c r="A438" s="28"/>
    </row>
    <row r="439" spans="1:1" ht="13.2" x14ac:dyDescent="0.25">
      <c r="A439" s="28"/>
    </row>
    <row r="440" spans="1:1" ht="13.2" x14ac:dyDescent="0.25">
      <c r="A440" s="28"/>
    </row>
    <row r="441" spans="1:1" ht="13.2" x14ac:dyDescent="0.25">
      <c r="A441" s="28"/>
    </row>
    <row r="442" spans="1:1" ht="13.2" x14ac:dyDescent="0.25">
      <c r="A442" s="28"/>
    </row>
    <row r="443" spans="1:1" ht="13.2" x14ac:dyDescent="0.25">
      <c r="A443" s="28"/>
    </row>
    <row r="444" spans="1:1" ht="13.2" x14ac:dyDescent="0.25">
      <c r="A444" s="28"/>
    </row>
    <row r="445" spans="1:1" ht="13.2" x14ac:dyDescent="0.25">
      <c r="A445" s="28"/>
    </row>
    <row r="446" spans="1:1" ht="13.2" x14ac:dyDescent="0.25">
      <c r="A446" s="28"/>
    </row>
    <row r="447" spans="1:1" ht="13.2" x14ac:dyDescent="0.25">
      <c r="A447" s="28"/>
    </row>
    <row r="448" spans="1:1" ht="13.2" x14ac:dyDescent="0.25">
      <c r="A448" s="28"/>
    </row>
    <row r="449" spans="1:1" ht="13.2" x14ac:dyDescent="0.25">
      <c r="A449" s="28"/>
    </row>
    <row r="450" spans="1:1" ht="13.2" x14ac:dyDescent="0.25">
      <c r="A450" s="28"/>
    </row>
    <row r="451" spans="1:1" ht="13.2" x14ac:dyDescent="0.25">
      <c r="A451" s="28"/>
    </row>
    <row r="452" spans="1:1" ht="13.2" x14ac:dyDescent="0.25">
      <c r="A452" s="28"/>
    </row>
    <row r="453" spans="1:1" ht="13.2" x14ac:dyDescent="0.25">
      <c r="A453" s="28"/>
    </row>
    <row r="454" spans="1:1" ht="13.2" x14ac:dyDescent="0.25">
      <c r="A454" s="28"/>
    </row>
    <row r="455" spans="1:1" ht="13.2" x14ac:dyDescent="0.25">
      <c r="A455" s="28"/>
    </row>
    <row r="456" spans="1:1" ht="13.2" x14ac:dyDescent="0.25">
      <c r="A456" s="28"/>
    </row>
    <row r="457" spans="1:1" ht="13.2" x14ac:dyDescent="0.25">
      <c r="A457" s="28"/>
    </row>
    <row r="458" spans="1:1" ht="13.2" x14ac:dyDescent="0.25">
      <c r="A458" s="28"/>
    </row>
    <row r="459" spans="1:1" ht="13.2" x14ac:dyDescent="0.25">
      <c r="A459" s="28"/>
    </row>
    <row r="460" spans="1:1" ht="13.2" x14ac:dyDescent="0.25">
      <c r="A460" s="28"/>
    </row>
    <row r="461" spans="1:1" ht="13.2" x14ac:dyDescent="0.25">
      <c r="A461" s="28"/>
    </row>
    <row r="462" spans="1:1" ht="13.2" x14ac:dyDescent="0.25">
      <c r="A462" s="28"/>
    </row>
    <row r="463" spans="1:1" ht="13.2" x14ac:dyDescent="0.25">
      <c r="A463" s="28"/>
    </row>
    <row r="464" spans="1:1" ht="13.2" x14ac:dyDescent="0.25">
      <c r="A464" s="28"/>
    </row>
    <row r="465" spans="1:1" ht="13.2" x14ac:dyDescent="0.25">
      <c r="A465" s="28"/>
    </row>
    <row r="466" spans="1:1" ht="13.2" x14ac:dyDescent="0.25">
      <c r="A466" s="28"/>
    </row>
    <row r="467" spans="1:1" ht="13.2" x14ac:dyDescent="0.25">
      <c r="A467" s="28"/>
    </row>
    <row r="468" spans="1:1" ht="13.2" x14ac:dyDescent="0.25">
      <c r="A468" s="28"/>
    </row>
    <row r="469" spans="1:1" ht="13.2" x14ac:dyDescent="0.25">
      <c r="A469" s="28"/>
    </row>
    <row r="470" spans="1:1" ht="13.2" x14ac:dyDescent="0.25">
      <c r="A470" s="28"/>
    </row>
    <row r="471" spans="1:1" ht="13.2" x14ac:dyDescent="0.25">
      <c r="A471" s="28"/>
    </row>
    <row r="472" spans="1:1" ht="13.2" x14ac:dyDescent="0.25">
      <c r="A472" s="28"/>
    </row>
    <row r="473" spans="1:1" ht="13.2" x14ac:dyDescent="0.25">
      <c r="A473" s="28"/>
    </row>
    <row r="474" spans="1:1" ht="13.2" x14ac:dyDescent="0.25">
      <c r="A474" s="28"/>
    </row>
    <row r="475" spans="1:1" ht="13.2" x14ac:dyDescent="0.25">
      <c r="A475" s="28"/>
    </row>
    <row r="476" spans="1:1" ht="13.2" x14ac:dyDescent="0.25">
      <c r="A476" s="28"/>
    </row>
    <row r="477" spans="1:1" ht="13.2" x14ac:dyDescent="0.25">
      <c r="A477" s="28"/>
    </row>
    <row r="478" spans="1:1" ht="13.2" x14ac:dyDescent="0.25">
      <c r="A478" s="28"/>
    </row>
    <row r="479" spans="1:1" ht="13.2" x14ac:dyDescent="0.25">
      <c r="A479" s="28"/>
    </row>
    <row r="480" spans="1:1" ht="13.2" x14ac:dyDescent="0.25">
      <c r="A480" s="28"/>
    </row>
    <row r="481" spans="1:1" ht="13.2" x14ac:dyDescent="0.25">
      <c r="A481" s="28"/>
    </row>
    <row r="482" spans="1:1" ht="13.2" x14ac:dyDescent="0.25">
      <c r="A482" s="28"/>
    </row>
    <row r="483" spans="1:1" ht="13.2" x14ac:dyDescent="0.25">
      <c r="A483" s="28"/>
    </row>
    <row r="484" spans="1:1" ht="13.2" x14ac:dyDescent="0.25">
      <c r="A484" s="28"/>
    </row>
    <row r="485" spans="1:1" ht="13.2" x14ac:dyDescent="0.25">
      <c r="A485" s="28"/>
    </row>
    <row r="486" spans="1:1" ht="13.2" x14ac:dyDescent="0.25">
      <c r="A486" s="28"/>
    </row>
    <row r="487" spans="1:1" ht="13.2" x14ac:dyDescent="0.25">
      <c r="A487" s="28"/>
    </row>
    <row r="488" spans="1:1" ht="13.2" x14ac:dyDescent="0.25">
      <c r="A488" s="28"/>
    </row>
    <row r="489" spans="1:1" ht="13.2" x14ac:dyDescent="0.25">
      <c r="A489" s="28"/>
    </row>
    <row r="490" spans="1:1" ht="13.2" x14ac:dyDescent="0.25">
      <c r="A490" s="28"/>
    </row>
    <row r="491" spans="1:1" ht="13.2" x14ac:dyDescent="0.25">
      <c r="A491" s="28"/>
    </row>
    <row r="492" spans="1:1" ht="13.2" x14ac:dyDescent="0.25">
      <c r="A492" s="28"/>
    </row>
    <row r="493" spans="1:1" ht="13.2" x14ac:dyDescent="0.25">
      <c r="A493" s="28"/>
    </row>
    <row r="494" spans="1:1" ht="13.2" x14ac:dyDescent="0.25">
      <c r="A494" s="28"/>
    </row>
    <row r="495" spans="1:1" ht="13.2" x14ac:dyDescent="0.25">
      <c r="A495" s="28"/>
    </row>
    <row r="496" spans="1:1" ht="13.2" x14ac:dyDescent="0.25">
      <c r="A496" s="28"/>
    </row>
    <row r="497" spans="1:1" ht="13.2" x14ac:dyDescent="0.25">
      <c r="A497" s="28"/>
    </row>
    <row r="498" spans="1:1" ht="13.2" x14ac:dyDescent="0.25">
      <c r="A498" s="28"/>
    </row>
    <row r="499" spans="1:1" ht="13.2" x14ac:dyDescent="0.25">
      <c r="A499" s="28"/>
    </row>
    <row r="500" spans="1:1" ht="13.2" x14ac:dyDescent="0.25">
      <c r="A500" s="28"/>
    </row>
    <row r="501" spans="1:1" ht="13.2" x14ac:dyDescent="0.25">
      <c r="A501" s="28"/>
    </row>
    <row r="502" spans="1:1" ht="13.2" x14ac:dyDescent="0.25">
      <c r="A502" s="28"/>
    </row>
    <row r="503" spans="1:1" ht="13.2" x14ac:dyDescent="0.25">
      <c r="A503" s="28"/>
    </row>
    <row r="504" spans="1:1" ht="13.2" x14ac:dyDescent="0.25">
      <c r="A504" s="28"/>
    </row>
    <row r="505" spans="1:1" ht="13.2" x14ac:dyDescent="0.25">
      <c r="A505" s="28"/>
    </row>
    <row r="506" spans="1:1" ht="13.2" x14ac:dyDescent="0.25">
      <c r="A506" s="28"/>
    </row>
    <row r="507" spans="1:1" ht="13.2" x14ac:dyDescent="0.25">
      <c r="A507" s="28"/>
    </row>
    <row r="508" spans="1:1" ht="13.2" x14ac:dyDescent="0.25">
      <c r="A508" s="28"/>
    </row>
    <row r="509" spans="1:1" ht="13.2" x14ac:dyDescent="0.25">
      <c r="A509" s="28"/>
    </row>
    <row r="510" spans="1:1" ht="13.2" x14ac:dyDescent="0.25">
      <c r="A510" s="28"/>
    </row>
    <row r="511" spans="1:1" ht="13.2" x14ac:dyDescent="0.25">
      <c r="A511" s="28"/>
    </row>
    <row r="512" spans="1:1" ht="13.2" x14ac:dyDescent="0.25">
      <c r="A512" s="28"/>
    </row>
    <row r="513" spans="1:1" ht="13.2" x14ac:dyDescent="0.25">
      <c r="A513" s="28"/>
    </row>
    <row r="514" spans="1:1" ht="13.2" x14ac:dyDescent="0.25">
      <c r="A514" s="28"/>
    </row>
    <row r="515" spans="1:1" ht="13.2" x14ac:dyDescent="0.25">
      <c r="A515" s="28"/>
    </row>
    <row r="516" spans="1:1" ht="13.2" x14ac:dyDescent="0.25">
      <c r="A516" s="28"/>
    </row>
    <row r="517" spans="1:1" ht="13.2" x14ac:dyDescent="0.25">
      <c r="A517" s="28"/>
    </row>
    <row r="518" spans="1:1" ht="13.2" x14ac:dyDescent="0.25">
      <c r="A518" s="28"/>
    </row>
    <row r="519" spans="1:1" ht="13.2" x14ac:dyDescent="0.25">
      <c r="A519" s="28"/>
    </row>
    <row r="520" spans="1:1" ht="13.2" x14ac:dyDescent="0.25">
      <c r="A520" s="28"/>
    </row>
    <row r="521" spans="1:1" ht="13.2" x14ac:dyDescent="0.25">
      <c r="A521" s="28"/>
    </row>
    <row r="522" spans="1:1" ht="13.2" x14ac:dyDescent="0.25">
      <c r="A522" s="28"/>
    </row>
    <row r="523" spans="1:1" ht="13.2" x14ac:dyDescent="0.25">
      <c r="A523" s="28"/>
    </row>
    <row r="524" spans="1:1" ht="13.2" x14ac:dyDescent="0.25">
      <c r="A524" s="28"/>
    </row>
    <row r="525" spans="1:1" ht="13.2" x14ac:dyDescent="0.25">
      <c r="A525" s="28"/>
    </row>
    <row r="526" spans="1:1" ht="13.2" x14ac:dyDescent="0.25">
      <c r="A526" s="28"/>
    </row>
    <row r="527" spans="1:1" ht="13.2" x14ac:dyDescent="0.25">
      <c r="A527" s="28"/>
    </row>
    <row r="528" spans="1:1" ht="13.2" x14ac:dyDescent="0.25">
      <c r="A528" s="28"/>
    </row>
    <row r="529" spans="1:1" ht="13.2" x14ac:dyDescent="0.25">
      <c r="A529" s="28"/>
    </row>
    <row r="530" spans="1:1" ht="13.2" x14ac:dyDescent="0.25">
      <c r="A530" s="28"/>
    </row>
    <row r="531" spans="1:1" ht="13.2" x14ac:dyDescent="0.25">
      <c r="A531" s="28"/>
    </row>
    <row r="532" spans="1:1" ht="13.2" x14ac:dyDescent="0.25">
      <c r="A532" s="28"/>
    </row>
    <row r="533" spans="1:1" ht="13.2" x14ac:dyDescent="0.25">
      <c r="A533" s="28"/>
    </row>
    <row r="534" spans="1:1" ht="13.2" x14ac:dyDescent="0.25">
      <c r="A534" s="28"/>
    </row>
    <row r="535" spans="1:1" ht="13.2" x14ac:dyDescent="0.25">
      <c r="A535" s="28"/>
    </row>
    <row r="536" spans="1:1" ht="13.2" x14ac:dyDescent="0.25">
      <c r="A536" s="28"/>
    </row>
    <row r="537" spans="1:1" ht="13.2" x14ac:dyDescent="0.25">
      <c r="A537" s="28"/>
    </row>
    <row r="538" spans="1:1" ht="13.2" x14ac:dyDescent="0.25">
      <c r="A538" s="28"/>
    </row>
    <row r="539" spans="1:1" ht="13.2" x14ac:dyDescent="0.25">
      <c r="A539" s="28"/>
    </row>
    <row r="540" spans="1:1" ht="13.2" x14ac:dyDescent="0.25">
      <c r="A540" s="28"/>
    </row>
    <row r="541" spans="1:1" ht="13.2" x14ac:dyDescent="0.25">
      <c r="A541" s="28"/>
    </row>
    <row r="542" spans="1:1" ht="13.2" x14ac:dyDescent="0.25">
      <c r="A542" s="28"/>
    </row>
    <row r="543" spans="1:1" ht="13.2" x14ac:dyDescent="0.25">
      <c r="A543" s="28"/>
    </row>
    <row r="544" spans="1:1" ht="13.2" x14ac:dyDescent="0.25">
      <c r="A544" s="28"/>
    </row>
    <row r="545" spans="1:1" ht="13.2" x14ac:dyDescent="0.25">
      <c r="A545" s="28"/>
    </row>
    <row r="546" spans="1:1" ht="13.2" x14ac:dyDescent="0.25">
      <c r="A546" s="28"/>
    </row>
    <row r="547" spans="1:1" ht="13.2" x14ac:dyDescent="0.25">
      <c r="A547" s="28"/>
    </row>
    <row r="548" spans="1:1" ht="13.2" x14ac:dyDescent="0.25">
      <c r="A548" s="28"/>
    </row>
    <row r="549" spans="1:1" ht="13.2" x14ac:dyDescent="0.25">
      <c r="A549" s="28"/>
    </row>
    <row r="550" spans="1:1" ht="13.2" x14ac:dyDescent="0.25">
      <c r="A550" s="28"/>
    </row>
    <row r="551" spans="1:1" ht="13.2" x14ac:dyDescent="0.25">
      <c r="A551" s="28"/>
    </row>
    <row r="552" spans="1:1" ht="13.2" x14ac:dyDescent="0.25">
      <c r="A552" s="28"/>
    </row>
    <row r="553" spans="1:1" ht="13.2" x14ac:dyDescent="0.25">
      <c r="A553" s="28"/>
    </row>
    <row r="554" spans="1:1" ht="13.2" x14ac:dyDescent="0.25">
      <c r="A554" s="28"/>
    </row>
    <row r="555" spans="1:1" ht="13.2" x14ac:dyDescent="0.25">
      <c r="A555" s="28"/>
    </row>
    <row r="556" spans="1:1" ht="13.2" x14ac:dyDescent="0.25">
      <c r="A556" s="28"/>
    </row>
    <row r="557" spans="1:1" ht="13.2" x14ac:dyDescent="0.25">
      <c r="A557" s="28"/>
    </row>
    <row r="558" spans="1:1" ht="13.2" x14ac:dyDescent="0.25">
      <c r="A558" s="28"/>
    </row>
    <row r="559" spans="1:1" ht="13.2" x14ac:dyDescent="0.25">
      <c r="A559" s="28"/>
    </row>
    <row r="560" spans="1:1" ht="13.2" x14ac:dyDescent="0.25">
      <c r="A560" s="28"/>
    </row>
    <row r="561" spans="1:1" ht="13.2" x14ac:dyDescent="0.25">
      <c r="A561" s="28"/>
    </row>
    <row r="562" spans="1:1" ht="13.2" x14ac:dyDescent="0.25">
      <c r="A562" s="28"/>
    </row>
    <row r="563" spans="1:1" ht="13.2" x14ac:dyDescent="0.25">
      <c r="A563" s="28"/>
    </row>
    <row r="564" spans="1:1" ht="13.2" x14ac:dyDescent="0.25">
      <c r="A564" s="28"/>
    </row>
    <row r="565" spans="1:1" ht="13.2" x14ac:dyDescent="0.25">
      <c r="A565" s="28"/>
    </row>
    <row r="566" spans="1:1" ht="13.2" x14ac:dyDescent="0.25">
      <c r="A566" s="28"/>
    </row>
    <row r="567" spans="1:1" ht="13.2" x14ac:dyDescent="0.25">
      <c r="A567" s="28"/>
    </row>
    <row r="568" spans="1:1" ht="13.2" x14ac:dyDescent="0.25">
      <c r="A568" s="28"/>
    </row>
    <row r="569" spans="1:1" ht="13.2" x14ac:dyDescent="0.25">
      <c r="A569" s="28"/>
    </row>
    <row r="570" spans="1:1" ht="13.2" x14ac:dyDescent="0.25">
      <c r="A570" s="28"/>
    </row>
    <row r="571" spans="1:1" ht="13.2" x14ac:dyDescent="0.25">
      <c r="A571" s="28"/>
    </row>
    <row r="572" spans="1:1" ht="13.2" x14ac:dyDescent="0.25">
      <c r="A572" s="28"/>
    </row>
    <row r="573" spans="1:1" ht="13.2" x14ac:dyDescent="0.25">
      <c r="A573" s="28"/>
    </row>
    <row r="574" spans="1:1" ht="13.2" x14ac:dyDescent="0.25">
      <c r="A574" s="28"/>
    </row>
    <row r="575" spans="1:1" ht="13.2" x14ac:dyDescent="0.25">
      <c r="A575" s="28"/>
    </row>
    <row r="576" spans="1:1" ht="13.2" x14ac:dyDescent="0.25">
      <c r="A576" s="28"/>
    </row>
    <row r="577" spans="1:1" ht="13.2" x14ac:dyDescent="0.25">
      <c r="A577" s="28"/>
    </row>
    <row r="578" spans="1:1" ht="13.2" x14ac:dyDescent="0.25">
      <c r="A578" s="28"/>
    </row>
    <row r="579" spans="1:1" ht="13.2" x14ac:dyDescent="0.25">
      <c r="A579" s="28"/>
    </row>
    <row r="580" spans="1:1" ht="13.2" x14ac:dyDescent="0.25">
      <c r="A580" s="28"/>
    </row>
    <row r="581" spans="1:1" ht="13.2" x14ac:dyDescent="0.25">
      <c r="A581" s="28"/>
    </row>
    <row r="582" spans="1:1" ht="13.2" x14ac:dyDescent="0.25">
      <c r="A582" s="28"/>
    </row>
    <row r="583" spans="1:1" ht="13.2" x14ac:dyDescent="0.25">
      <c r="A583" s="28"/>
    </row>
    <row r="584" spans="1:1" ht="13.2" x14ac:dyDescent="0.25">
      <c r="A584" s="28"/>
    </row>
    <row r="585" spans="1:1" ht="13.2" x14ac:dyDescent="0.25">
      <c r="A585" s="28"/>
    </row>
    <row r="586" spans="1:1" ht="13.2" x14ac:dyDescent="0.25">
      <c r="A586" s="28"/>
    </row>
    <row r="587" spans="1:1" ht="13.2" x14ac:dyDescent="0.25">
      <c r="A587" s="28"/>
    </row>
    <row r="588" spans="1:1" ht="13.2" x14ac:dyDescent="0.25">
      <c r="A588" s="28"/>
    </row>
    <row r="589" spans="1:1" ht="13.2" x14ac:dyDescent="0.25">
      <c r="A589" s="28"/>
    </row>
    <row r="590" spans="1:1" ht="13.2" x14ac:dyDescent="0.25">
      <c r="A590" s="28"/>
    </row>
    <row r="591" spans="1:1" ht="13.2" x14ac:dyDescent="0.25">
      <c r="A591" s="28"/>
    </row>
    <row r="592" spans="1:1" ht="13.2" x14ac:dyDescent="0.25">
      <c r="A592" s="28"/>
    </row>
    <row r="593" spans="1:1" ht="13.2" x14ac:dyDescent="0.25">
      <c r="A593" s="28"/>
    </row>
    <row r="594" spans="1:1" ht="13.2" x14ac:dyDescent="0.25">
      <c r="A594" s="28"/>
    </row>
    <row r="595" spans="1:1" ht="13.2" x14ac:dyDescent="0.25">
      <c r="A595" s="28"/>
    </row>
    <row r="596" spans="1:1" ht="13.2" x14ac:dyDescent="0.25">
      <c r="A596" s="28"/>
    </row>
    <row r="597" spans="1:1" ht="13.2" x14ac:dyDescent="0.25">
      <c r="A597" s="28"/>
    </row>
    <row r="598" spans="1:1" ht="13.2" x14ac:dyDescent="0.25">
      <c r="A598" s="28"/>
    </row>
    <row r="599" spans="1:1" ht="13.2" x14ac:dyDescent="0.25">
      <c r="A599" s="28"/>
    </row>
    <row r="600" spans="1:1" ht="13.2" x14ac:dyDescent="0.25">
      <c r="A600" s="28"/>
    </row>
    <row r="601" spans="1:1" ht="13.2" x14ac:dyDescent="0.25">
      <c r="A601" s="28"/>
    </row>
    <row r="602" spans="1:1" ht="13.2" x14ac:dyDescent="0.25">
      <c r="A602" s="28"/>
    </row>
    <row r="603" spans="1:1" ht="13.2" x14ac:dyDescent="0.25">
      <c r="A603" s="28"/>
    </row>
    <row r="604" spans="1:1" ht="13.2" x14ac:dyDescent="0.25">
      <c r="A604" s="28"/>
    </row>
    <row r="605" spans="1:1" ht="13.2" x14ac:dyDescent="0.25">
      <c r="A605" s="28"/>
    </row>
    <row r="606" spans="1:1" ht="13.2" x14ac:dyDescent="0.25">
      <c r="A606" s="28"/>
    </row>
    <row r="607" spans="1:1" ht="13.2" x14ac:dyDescent="0.25">
      <c r="A607" s="28"/>
    </row>
    <row r="608" spans="1:1" ht="13.2" x14ac:dyDescent="0.25">
      <c r="A608" s="28"/>
    </row>
    <row r="609" spans="1:1" ht="13.2" x14ac:dyDescent="0.25">
      <c r="A609" s="28"/>
    </row>
    <row r="610" spans="1:1" ht="13.2" x14ac:dyDescent="0.25">
      <c r="A610" s="28"/>
    </row>
    <row r="611" spans="1:1" ht="13.2" x14ac:dyDescent="0.25">
      <c r="A611" s="28"/>
    </row>
    <row r="612" spans="1:1" ht="13.2" x14ac:dyDescent="0.25">
      <c r="A612" s="28"/>
    </row>
    <row r="613" spans="1:1" ht="13.2" x14ac:dyDescent="0.25">
      <c r="A613" s="28"/>
    </row>
    <row r="614" spans="1:1" ht="13.2" x14ac:dyDescent="0.25">
      <c r="A614" s="28"/>
    </row>
    <row r="615" spans="1:1" ht="13.2" x14ac:dyDescent="0.25">
      <c r="A615" s="28"/>
    </row>
    <row r="616" spans="1:1" ht="13.2" x14ac:dyDescent="0.25">
      <c r="A616" s="28"/>
    </row>
    <row r="617" spans="1:1" ht="13.2" x14ac:dyDescent="0.25">
      <c r="A617" s="28"/>
    </row>
    <row r="618" spans="1:1" ht="13.2" x14ac:dyDescent="0.25">
      <c r="A618" s="28"/>
    </row>
    <row r="619" spans="1:1" ht="13.2" x14ac:dyDescent="0.25">
      <c r="A619" s="28"/>
    </row>
    <row r="620" spans="1:1" ht="13.2" x14ac:dyDescent="0.25">
      <c r="A620" s="28"/>
    </row>
    <row r="621" spans="1:1" ht="13.2" x14ac:dyDescent="0.25">
      <c r="A621" s="28"/>
    </row>
    <row r="622" spans="1:1" ht="13.2" x14ac:dyDescent="0.25">
      <c r="A622" s="28"/>
    </row>
    <row r="623" spans="1:1" ht="13.2" x14ac:dyDescent="0.25">
      <c r="A623" s="28"/>
    </row>
    <row r="624" spans="1:1" ht="13.2" x14ac:dyDescent="0.25">
      <c r="A624" s="28"/>
    </row>
    <row r="625" spans="1:1" ht="13.2" x14ac:dyDescent="0.25">
      <c r="A625" s="28"/>
    </row>
    <row r="626" spans="1:1" ht="13.2" x14ac:dyDescent="0.25">
      <c r="A626" s="28"/>
    </row>
    <row r="627" spans="1:1" ht="13.2" x14ac:dyDescent="0.25">
      <c r="A627" s="28"/>
    </row>
    <row r="628" spans="1:1" ht="13.2" x14ac:dyDescent="0.25">
      <c r="A628" s="28"/>
    </row>
    <row r="629" spans="1:1" ht="13.2" x14ac:dyDescent="0.25">
      <c r="A629" s="28"/>
    </row>
    <row r="630" spans="1:1" ht="13.2" x14ac:dyDescent="0.25">
      <c r="A630" s="28"/>
    </row>
    <row r="631" spans="1:1" ht="13.2" x14ac:dyDescent="0.25">
      <c r="A631" s="28"/>
    </row>
    <row r="632" spans="1:1" ht="13.2" x14ac:dyDescent="0.25">
      <c r="A632" s="28"/>
    </row>
    <row r="633" spans="1:1" ht="13.2" x14ac:dyDescent="0.25">
      <c r="A633" s="28"/>
    </row>
    <row r="634" spans="1:1" ht="13.2" x14ac:dyDescent="0.25">
      <c r="A634" s="28"/>
    </row>
    <row r="635" spans="1:1" ht="13.2" x14ac:dyDescent="0.25">
      <c r="A635" s="28"/>
    </row>
    <row r="636" spans="1:1" ht="13.2" x14ac:dyDescent="0.25">
      <c r="A636" s="28"/>
    </row>
    <row r="637" spans="1:1" ht="13.2" x14ac:dyDescent="0.25">
      <c r="A637" s="28"/>
    </row>
    <row r="638" spans="1:1" ht="13.2" x14ac:dyDescent="0.25">
      <c r="A638" s="28"/>
    </row>
    <row r="639" spans="1:1" ht="13.2" x14ac:dyDescent="0.25">
      <c r="A639" s="28"/>
    </row>
    <row r="640" spans="1:1" ht="13.2" x14ac:dyDescent="0.25">
      <c r="A640" s="28"/>
    </row>
    <row r="641" spans="1:1" ht="13.2" x14ac:dyDescent="0.25">
      <c r="A641" s="28"/>
    </row>
    <row r="642" spans="1:1" ht="13.2" x14ac:dyDescent="0.25">
      <c r="A642" s="28"/>
    </row>
    <row r="643" spans="1:1" ht="13.2" x14ac:dyDescent="0.25">
      <c r="A643" s="28"/>
    </row>
    <row r="644" spans="1:1" ht="13.2" x14ac:dyDescent="0.25">
      <c r="A644" s="28"/>
    </row>
    <row r="645" spans="1:1" ht="13.2" x14ac:dyDescent="0.25">
      <c r="A645" s="28"/>
    </row>
    <row r="646" spans="1:1" ht="13.2" x14ac:dyDescent="0.25">
      <c r="A646" s="28"/>
    </row>
    <row r="647" spans="1:1" ht="13.2" x14ac:dyDescent="0.25">
      <c r="A647" s="28"/>
    </row>
    <row r="648" spans="1:1" ht="13.2" x14ac:dyDescent="0.25">
      <c r="A648" s="28"/>
    </row>
    <row r="649" spans="1:1" ht="13.2" x14ac:dyDescent="0.25">
      <c r="A649" s="28"/>
    </row>
    <row r="650" spans="1:1" ht="13.2" x14ac:dyDescent="0.25">
      <c r="A650" s="28"/>
    </row>
    <row r="651" spans="1:1" ht="13.2" x14ac:dyDescent="0.25">
      <c r="A651" s="28"/>
    </row>
    <row r="652" spans="1:1" ht="13.2" x14ac:dyDescent="0.25">
      <c r="A652" s="28"/>
    </row>
    <row r="653" spans="1:1" ht="13.2" x14ac:dyDescent="0.25">
      <c r="A653" s="28"/>
    </row>
    <row r="654" spans="1:1" ht="13.2" x14ac:dyDescent="0.25">
      <c r="A654" s="28"/>
    </row>
    <row r="655" spans="1:1" ht="13.2" x14ac:dyDescent="0.25">
      <c r="A655" s="28"/>
    </row>
    <row r="656" spans="1:1" ht="13.2" x14ac:dyDescent="0.25">
      <c r="A656" s="28"/>
    </row>
    <row r="657" spans="1:1" ht="13.2" x14ac:dyDescent="0.25">
      <c r="A657" s="28"/>
    </row>
    <row r="658" spans="1:1" ht="13.2" x14ac:dyDescent="0.25">
      <c r="A658" s="28"/>
    </row>
    <row r="659" spans="1:1" ht="13.2" x14ac:dyDescent="0.25">
      <c r="A659" s="28"/>
    </row>
    <row r="660" spans="1:1" ht="13.2" x14ac:dyDescent="0.25">
      <c r="A660" s="28"/>
    </row>
    <row r="661" spans="1:1" ht="13.2" x14ac:dyDescent="0.25">
      <c r="A661" s="28"/>
    </row>
    <row r="662" spans="1:1" ht="13.2" x14ac:dyDescent="0.25">
      <c r="A662" s="28"/>
    </row>
    <row r="663" spans="1:1" ht="13.2" x14ac:dyDescent="0.25">
      <c r="A663" s="28"/>
    </row>
    <row r="664" spans="1:1" ht="13.2" x14ac:dyDescent="0.25">
      <c r="A664" s="28"/>
    </row>
    <row r="665" spans="1:1" ht="13.2" x14ac:dyDescent="0.25">
      <c r="A665" s="28"/>
    </row>
    <row r="666" spans="1:1" ht="13.2" x14ac:dyDescent="0.25">
      <c r="A666" s="28"/>
    </row>
    <row r="667" spans="1:1" ht="13.2" x14ac:dyDescent="0.25">
      <c r="A667" s="28"/>
    </row>
    <row r="668" spans="1:1" ht="13.2" x14ac:dyDescent="0.25">
      <c r="A668" s="28"/>
    </row>
    <row r="669" spans="1:1" ht="13.2" x14ac:dyDescent="0.25">
      <c r="A669" s="28"/>
    </row>
    <row r="670" spans="1:1" ht="13.2" x14ac:dyDescent="0.25">
      <c r="A670" s="28"/>
    </row>
    <row r="671" spans="1:1" ht="13.2" x14ac:dyDescent="0.25">
      <c r="A671" s="28"/>
    </row>
    <row r="672" spans="1:1" ht="13.2" x14ac:dyDescent="0.25">
      <c r="A672" s="28"/>
    </row>
    <row r="673" spans="1:1" ht="13.2" x14ac:dyDescent="0.25">
      <c r="A673" s="28"/>
    </row>
    <row r="674" spans="1:1" ht="13.2" x14ac:dyDescent="0.25">
      <c r="A674" s="28"/>
    </row>
    <row r="675" spans="1:1" ht="13.2" x14ac:dyDescent="0.25">
      <c r="A675" s="28"/>
    </row>
    <row r="676" spans="1:1" ht="13.2" x14ac:dyDescent="0.25">
      <c r="A676" s="28"/>
    </row>
    <row r="677" spans="1:1" ht="13.2" x14ac:dyDescent="0.25">
      <c r="A677" s="28"/>
    </row>
    <row r="678" spans="1:1" ht="13.2" x14ac:dyDescent="0.25">
      <c r="A678" s="28"/>
    </row>
    <row r="679" spans="1:1" ht="13.2" x14ac:dyDescent="0.25">
      <c r="A679" s="28"/>
    </row>
    <row r="680" spans="1:1" ht="13.2" x14ac:dyDescent="0.25">
      <c r="A680" s="28"/>
    </row>
    <row r="681" spans="1:1" ht="13.2" x14ac:dyDescent="0.25">
      <c r="A681" s="28"/>
    </row>
    <row r="682" spans="1:1" ht="13.2" x14ac:dyDescent="0.25">
      <c r="A682" s="28"/>
    </row>
    <row r="683" spans="1:1" ht="13.2" x14ac:dyDescent="0.25">
      <c r="A683" s="28"/>
    </row>
    <row r="684" spans="1:1" ht="13.2" x14ac:dyDescent="0.25">
      <c r="A684" s="28"/>
    </row>
    <row r="685" spans="1:1" ht="13.2" x14ac:dyDescent="0.25">
      <c r="A685" s="28"/>
    </row>
    <row r="686" spans="1:1" ht="13.2" x14ac:dyDescent="0.25">
      <c r="A686" s="28"/>
    </row>
    <row r="687" spans="1:1" ht="13.2" x14ac:dyDescent="0.25">
      <c r="A687" s="28"/>
    </row>
    <row r="688" spans="1:1" ht="13.2" x14ac:dyDescent="0.25">
      <c r="A688" s="28"/>
    </row>
    <row r="689" spans="1:1" ht="13.2" x14ac:dyDescent="0.25">
      <c r="A689" s="28"/>
    </row>
    <row r="690" spans="1:1" ht="13.2" x14ac:dyDescent="0.25">
      <c r="A690" s="28"/>
    </row>
    <row r="691" spans="1:1" ht="13.2" x14ac:dyDescent="0.25">
      <c r="A691" s="28"/>
    </row>
    <row r="692" spans="1:1" ht="13.2" x14ac:dyDescent="0.25">
      <c r="A692" s="28"/>
    </row>
    <row r="693" spans="1:1" ht="13.2" x14ac:dyDescent="0.25">
      <c r="A693" s="28"/>
    </row>
    <row r="694" spans="1:1" ht="13.2" x14ac:dyDescent="0.25">
      <c r="A694" s="28"/>
    </row>
    <row r="695" spans="1:1" ht="13.2" x14ac:dyDescent="0.25">
      <c r="A695" s="28"/>
    </row>
    <row r="696" spans="1:1" ht="13.2" x14ac:dyDescent="0.25">
      <c r="A696" s="28"/>
    </row>
    <row r="697" spans="1:1" ht="13.2" x14ac:dyDescent="0.25">
      <c r="A697" s="28"/>
    </row>
    <row r="698" spans="1:1" ht="13.2" x14ac:dyDescent="0.25">
      <c r="A698" s="28"/>
    </row>
    <row r="699" spans="1:1" ht="13.2" x14ac:dyDescent="0.25">
      <c r="A699" s="28"/>
    </row>
    <row r="700" spans="1:1" ht="13.2" x14ac:dyDescent="0.25">
      <c r="A700" s="28"/>
    </row>
    <row r="701" spans="1:1" ht="13.2" x14ac:dyDescent="0.25">
      <c r="A701" s="28"/>
    </row>
    <row r="702" spans="1:1" ht="13.2" x14ac:dyDescent="0.25">
      <c r="A702" s="28"/>
    </row>
    <row r="703" spans="1:1" ht="13.2" x14ac:dyDescent="0.25">
      <c r="A703" s="28"/>
    </row>
    <row r="704" spans="1:1" ht="13.2" x14ac:dyDescent="0.25">
      <c r="A704" s="28"/>
    </row>
    <row r="705" spans="1:1" ht="13.2" x14ac:dyDescent="0.25">
      <c r="A705" s="28"/>
    </row>
    <row r="706" spans="1:1" ht="13.2" x14ac:dyDescent="0.25">
      <c r="A706" s="28"/>
    </row>
    <row r="707" spans="1:1" ht="13.2" x14ac:dyDescent="0.25">
      <c r="A707" s="28"/>
    </row>
    <row r="708" spans="1:1" ht="13.2" x14ac:dyDescent="0.25">
      <c r="A708" s="28"/>
    </row>
    <row r="709" spans="1:1" ht="13.2" x14ac:dyDescent="0.25">
      <c r="A709" s="28"/>
    </row>
    <row r="710" spans="1:1" ht="13.2" x14ac:dyDescent="0.25">
      <c r="A710" s="28"/>
    </row>
    <row r="711" spans="1:1" ht="13.2" x14ac:dyDescent="0.25">
      <c r="A711" s="28"/>
    </row>
    <row r="712" spans="1:1" ht="13.2" x14ac:dyDescent="0.25">
      <c r="A712" s="28"/>
    </row>
    <row r="713" spans="1:1" ht="13.2" x14ac:dyDescent="0.25">
      <c r="A713" s="28"/>
    </row>
    <row r="714" spans="1:1" ht="13.2" x14ac:dyDescent="0.25">
      <c r="A714" s="28"/>
    </row>
    <row r="715" spans="1:1" ht="13.2" x14ac:dyDescent="0.25">
      <c r="A715" s="28"/>
    </row>
    <row r="716" spans="1:1" ht="13.2" x14ac:dyDescent="0.25">
      <c r="A716" s="28"/>
    </row>
    <row r="717" spans="1:1" ht="13.2" x14ac:dyDescent="0.25">
      <c r="A717" s="28"/>
    </row>
    <row r="718" spans="1:1" ht="13.2" x14ac:dyDescent="0.25">
      <c r="A718" s="28"/>
    </row>
    <row r="719" spans="1:1" ht="13.2" x14ac:dyDescent="0.25">
      <c r="A719" s="28"/>
    </row>
    <row r="720" spans="1:1" ht="13.2" x14ac:dyDescent="0.25">
      <c r="A720" s="28"/>
    </row>
    <row r="721" spans="1:1" ht="13.2" x14ac:dyDescent="0.25">
      <c r="A721" s="28"/>
    </row>
    <row r="722" spans="1:1" ht="13.2" x14ac:dyDescent="0.25">
      <c r="A722" s="28"/>
    </row>
    <row r="723" spans="1:1" ht="13.2" x14ac:dyDescent="0.25">
      <c r="A723" s="28"/>
    </row>
    <row r="724" spans="1:1" ht="13.2" x14ac:dyDescent="0.25">
      <c r="A724" s="28"/>
    </row>
    <row r="725" spans="1:1" ht="13.2" x14ac:dyDescent="0.25">
      <c r="A725" s="28"/>
    </row>
    <row r="726" spans="1:1" ht="13.2" x14ac:dyDescent="0.25">
      <c r="A726" s="28"/>
    </row>
    <row r="727" spans="1:1" ht="13.2" x14ac:dyDescent="0.25">
      <c r="A727" s="28"/>
    </row>
    <row r="728" spans="1:1" ht="13.2" x14ac:dyDescent="0.25">
      <c r="A728" s="28"/>
    </row>
    <row r="729" spans="1:1" ht="13.2" x14ac:dyDescent="0.25">
      <c r="A729" s="28"/>
    </row>
    <row r="730" spans="1:1" ht="13.2" x14ac:dyDescent="0.25">
      <c r="A730" s="28"/>
    </row>
    <row r="731" spans="1:1" ht="13.2" x14ac:dyDescent="0.25">
      <c r="A731" s="28"/>
    </row>
    <row r="732" spans="1:1" ht="13.2" x14ac:dyDescent="0.25">
      <c r="A732" s="28"/>
    </row>
    <row r="733" spans="1:1" ht="13.2" x14ac:dyDescent="0.25">
      <c r="A733" s="28"/>
    </row>
    <row r="734" spans="1:1" ht="13.2" x14ac:dyDescent="0.25">
      <c r="A734" s="28"/>
    </row>
    <row r="735" spans="1:1" ht="13.2" x14ac:dyDescent="0.25">
      <c r="A735" s="28"/>
    </row>
    <row r="736" spans="1:1" ht="13.2" x14ac:dyDescent="0.25">
      <c r="A736" s="28"/>
    </row>
    <row r="737" spans="1:1" ht="13.2" x14ac:dyDescent="0.25">
      <c r="A737" s="28"/>
    </row>
    <row r="738" spans="1:1" ht="13.2" x14ac:dyDescent="0.25">
      <c r="A738" s="28"/>
    </row>
    <row r="739" spans="1:1" ht="13.2" x14ac:dyDescent="0.25">
      <c r="A739" s="28"/>
    </row>
    <row r="740" spans="1:1" ht="13.2" x14ac:dyDescent="0.25">
      <c r="A740" s="28"/>
    </row>
    <row r="741" spans="1:1" ht="13.2" x14ac:dyDescent="0.25">
      <c r="A741" s="28"/>
    </row>
    <row r="742" spans="1:1" ht="13.2" x14ac:dyDescent="0.25">
      <c r="A742" s="28"/>
    </row>
    <row r="743" spans="1:1" ht="13.2" x14ac:dyDescent="0.25">
      <c r="A743" s="28"/>
    </row>
    <row r="744" spans="1:1" ht="13.2" x14ac:dyDescent="0.25">
      <c r="A744" s="28"/>
    </row>
    <row r="745" spans="1:1" ht="13.2" x14ac:dyDescent="0.25">
      <c r="A745" s="28"/>
    </row>
    <row r="746" spans="1:1" ht="13.2" x14ac:dyDescent="0.25">
      <c r="A746" s="28"/>
    </row>
    <row r="747" spans="1:1" ht="13.2" x14ac:dyDescent="0.25">
      <c r="A747" s="28"/>
    </row>
    <row r="748" spans="1:1" ht="13.2" x14ac:dyDescent="0.25">
      <c r="A748" s="28"/>
    </row>
    <row r="749" spans="1:1" ht="13.2" x14ac:dyDescent="0.25">
      <c r="A749" s="28"/>
    </row>
    <row r="750" spans="1:1" ht="13.2" x14ac:dyDescent="0.25">
      <c r="A750" s="28"/>
    </row>
    <row r="751" spans="1:1" ht="13.2" x14ac:dyDescent="0.25">
      <c r="A751" s="28"/>
    </row>
    <row r="752" spans="1:1" ht="13.2" x14ac:dyDescent="0.25">
      <c r="A752" s="28"/>
    </row>
    <row r="753" spans="1:1" ht="13.2" x14ac:dyDescent="0.25">
      <c r="A753" s="28"/>
    </row>
    <row r="754" spans="1:1" ht="13.2" x14ac:dyDescent="0.25">
      <c r="A754" s="28"/>
    </row>
    <row r="755" spans="1:1" ht="13.2" x14ac:dyDescent="0.25">
      <c r="A755" s="28"/>
    </row>
    <row r="756" spans="1:1" ht="13.2" x14ac:dyDescent="0.25">
      <c r="A756" s="28"/>
    </row>
    <row r="757" spans="1:1" ht="13.2" x14ac:dyDescent="0.25">
      <c r="A757" s="28"/>
    </row>
    <row r="758" spans="1:1" ht="13.2" x14ac:dyDescent="0.25">
      <c r="A758" s="28"/>
    </row>
    <row r="759" spans="1:1" ht="13.2" x14ac:dyDescent="0.25">
      <c r="A759" s="28"/>
    </row>
    <row r="760" spans="1:1" ht="13.2" x14ac:dyDescent="0.25">
      <c r="A760" s="28"/>
    </row>
    <row r="761" spans="1:1" ht="13.2" x14ac:dyDescent="0.25">
      <c r="A761" s="28"/>
    </row>
    <row r="762" spans="1:1" ht="13.2" x14ac:dyDescent="0.25">
      <c r="A762" s="28"/>
    </row>
    <row r="763" spans="1:1" ht="13.2" x14ac:dyDescent="0.25">
      <c r="A763" s="28"/>
    </row>
    <row r="764" spans="1:1" ht="13.2" x14ac:dyDescent="0.25">
      <c r="A764" s="28"/>
    </row>
    <row r="765" spans="1:1" ht="13.2" x14ac:dyDescent="0.25">
      <c r="A765" s="28"/>
    </row>
    <row r="766" spans="1:1" ht="13.2" x14ac:dyDescent="0.25">
      <c r="A766" s="28"/>
    </row>
    <row r="767" spans="1:1" ht="13.2" x14ac:dyDescent="0.25">
      <c r="A767" s="28"/>
    </row>
    <row r="768" spans="1:1" ht="13.2" x14ac:dyDescent="0.25">
      <c r="A768" s="28"/>
    </row>
    <row r="769" spans="1:1" ht="13.2" x14ac:dyDescent="0.25">
      <c r="A769" s="28"/>
    </row>
    <row r="770" spans="1:1" ht="13.2" x14ac:dyDescent="0.25">
      <c r="A770" s="28"/>
    </row>
    <row r="771" spans="1:1" ht="13.2" x14ac:dyDescent="0.25">
      <c r="A771" s="28"/>
    </row>
    <row r="772" spans="1:1" ht="13.2" x14ac:dyDescent="0.25">
      <c r="A772" s="28"/>
    </row>
    <row r="773" spans="1:1" ht="13.2" x14ac:dyDescent="0.25">
      <c r="A773" s="28"/>
    </row>
    <row r="774" spans="1:1" ht="13.2" x14ac:dyDescent="0.25">
      <c r="A774" s="28"/>
    </row>
    <row r="775" spans="1:1" ht="13.2" x14ac:dyDescent="0.25">
      <c r="A775" s="28"/>
    </row>
    <row r="776" spans="1:1" ht="13.2" x14ac:dyDescent="0.25">
      <c r="A776" s="28"/>
    </row>
    <row r="777" spans="1:1" ht="13.2" x14ac:dyDescent="0.25">
      <c r="A777" s="28"/>
    </row>
    <row r="778" spans="1:1" ht="13.2" x14ac:dyDescent="0.25">
      <c r="A778" s="28"/>
    </row>
    <row r="779" spans="1:1" ht="13.2" x14ac:dyDescent="0.25">
      <c r="A779" s="28"/>
    </row>
    <row r="780" spans="1:1" ht="13.2" x14ac:dyDescent="0.25">
      <c r="A780" s="28"/>
    </row>
    <row r="781" spans="1:1" ht="13.2" x14ac:dyDescent="0.25">
      <c r="A781" s="28"/>
    </row>
    <row r="782" spans="1:1" ht="13.2" x14ac:dyDescent="0.25">
      <c r="A782" s="28"/>
    </row>
    <row r="783" spans="1:1" ht="13.2" x14ac:dyDescent="0.25">
      <c r="A783" s="28"/>
    </row>
    <row r="784" spans="1:1" ht="13.2" x14ac:dyDescent="0.25">
      <c r="A784" s="28"/>
    </row>
    <row r="785" spans="1:1" ht="13.2" x14ac:dyDescent="0.25">
      <c r="A785" s="28"/>
    </row>
    <row r="786" spans="1:1" ht="13.2" x14ac:dyDescent="0.25">
      <c r="A786" s="28"/>
    </row>
    <row r="787" spans="1:1" ht="13.2" x14ac:dyDescent="0.25">
      <c r="A787" s="28"/>
    </row>
    <row r="788" spans="1:1" ht="13.2" x14ac:dyDescent="0.25">
      <c r="A788" s="28"/>
    </row>
    <row r="789" spans="1:1" ht="13.2" x14ac:dyDescent="0.25">
      <c r="A789" s="28"/>
    </row>
    <row r="790" spans="1:1" ht="13.2" x14ac:dyDescent="0.25">
      <c r="A790" s="28"/>
    </row>
    <row r="791" spans="1:1" ht="13.2" x14ac:dyDescent="0.25">
      <c r="A791" s="28"/>
    </row>
    <row r="792" spans="1:1" ht="13.2" x14ac:dyDescent="0.25">
      <c r="A792" s="28"/>
    </row>
    <row r="793" spans="1:1" ht="13.2" x14ac:dyDescent="0.25">
      <c r="A793" s="28"/>
    </row>
    <row r="794" spans="1:1" ht="13.2" x14ac:dyDescent="0.25">
      <c r="A794" s="28"/>
    </row>
    <row r="795" spans="1:1" ht="13.2" x14ac:dyDescent="0.25">
      <c r="A795" s="28"/>
    </row>
    <row r="796" spans="1:1" ht="13.2" x14ac:dyDescent="0.25">
      <c r="A796" s="28"/>
    </row>
    <row r="797" spans="1:1" ht="13.2" x14ac:dyDescent="0.25">
      <c r="A797" s="28"/>
    </row>
    <row r="798" spans="1:1" ht="13.2" x14ac:dyDescent="0.25">
      <c r="A798" s="28"/>
    </row>
    <row r="799" spans="1:1" ht="13.2" x14ac:dyDescent="0.25">
      <c r="A799" s="28"/>
    </row>
    <row r="800" spans="1:1" ht="13.2" x14ac:dyDescent="0.25">
      <c r="A800" s="28"/>
    </row>
    <row r="801" spans="1:1" ht="13.2" x14ac:dyDescent="0.25">
      <c r="A801" s="28"/>
    </row>
    <row r="802" spans="1:1" ht="13.2" x14ac:dyDescent="0.25">
      <c r="A802" s="28"/>
    </row>
    <row r="803" spans="1:1" ht="13.2" x14ac:dyDescent="0.25">
      <c r="A803" s="28"/>
    </row>
    <row r="804" spans="1:1" ht="13.2" x14ac:dyDescent="0.25">
      <c r="A804" s="28"/>
    </row>
    <row r="805" spans="1:1" ht="13.2" x14ac:dyDescent="0.25">
      <c r="A805" s="28"/>
    </row>
    <row r="806" spans="1:1" ht="13.2" x14ac:dyDescent="0.25">
      <c r="A806" s="28"/>
    </row>
    <row r="807" spans="1:1" ht="13.2" x14ac:dyDescent="0.25">
      <c r="A807" s="28"/>
    </row>
    <row r="808" spans="1:1" ht="13.2" x14ac:dyDescent="0.25">
      <c r="A808" s="28"/>
    </row>
    <row r="809" spans="1:1" ht="13.2" x14ac:dyDescent="0.25">
      <c r="A809" s="28"/>
    </row>
    <row r="810" spans="1:1" ht="13.2" x14ac:dyDescent="0.25">
      <c r="A810" s="28"/>
    </row>
    <row r="811" spans="1:1" ht="13.2" x14ac:dyDescent="0.25">
      <c r="A811" s="28"/>
    </row>
    <row r="812" spans="1:1" ht="13.2" x14ac:dyDescent="0.25">
      <c r="A812" s="28"/>
    </row>
    <row r="813" spans="1:1" ht="13.2" x14ac:dyDescent="0.25">
      <c r="A813" s="28"/>
    </row>
    <row r="814" spans="1:1" ht="13.2" x14ac:dyDescent="0.25">
      <c r="A814" s="28"/>
    </row>
    <row r="815" spans="1:1" ht="13.2" x14ac:dyDescent="0.25">
      <c r="A815" s="28"/>
    </row>
    <row r="816" spans="1:1" ht="13.2" x14ac:dyDescent="0.25">
      <c r="A816" s="28"/>
    </row>
    <row r="817" spans="1:1" ht="13.2" x14ac:dyDescent="0.25">
      <c r="A817" s="28"/>
    </row>
    <row r="818" spans="1:1" ht="13.2" x14ac:dyDescent="0.25">
      <c r="A818" s="28"/>
    </row>
    <row r="819" spans="1:1" ht="13.2" x14ac:dyDescent="0.25">
      <c r="A819" s="28"/>
    </row>
    <row r="820" spans="1:1" ht="13.2" x14ac:dyDescent="0.25">
      <c r="A820" s="28"/>
    </row>
    <row r="821" spans="1:1" ht="13.2" x14ac:dyDescent="0.25">
      <c r="A821" s="28"/>
    </row>
    <row r="822" spans="1:1" ht="13.2" x14ac:dyDescent="0.25">
      <c r="A822" s="28"/>
    </row>
    <row r="823" spans="1:1" ht="13.2" x14ac:dyDescent="0.25">
      <c r="A823" s="28"/>
    </row>
    <row r="824" spans="1:1" ht="13.2" x14ac:dyDescent="0.25">
      <c r="A824" s="28"/>
    </row>
    <row r="825" spans="1:1" ht="13.2" x14ac:dyDescent="0.25">
      <c r="A825" s="28"/>
    </row>
    <row r="826" spans="1:1" ht="13.2" x14ac:dyDescent="0.25">
      <c r="A826" s="28"/>
    </row>
    <row r="827" spans="1:1" ht="13.2" x14ac:dyDescent="0.25">
      <c r="A827" s="28"/>
    </row>
    <row r="828" spans="1:1" ht="13.2" x14ac:dyDescent="0.25">
      <c r="A828" s="28"/>
    </row>
    <row r="829" spans="1:1" ht="13.2" x14ac:dyDescent="0.25">
      <c r="A829" s="28"/>
    </row>
    <row r="830" spans="1:1" ht="13.2" x14ac:dyDescent="0.25">
      <c r="A830" s="28"/>
    </row>
    <row r="831" spans="1:1" ht="13.2" x14ac:dyDescent="0.25">
      <c r="A831" s="28"/>
    </row>
    <row r="832" spans="1:1" ht="13.2" x14ac:dyDescent="0.25">
      <c r="A832" s="28"/>
    </row>
    <row r="833" spans="1:1" ht="13.2" x14ac:dyDescent="0.25">
      <c r="A833" s="28"/>
    </row>
    <row r="834" spans="1:1" ht="13.2" x14ac:dyDescent="0.25">
      <c r="A834" s="28"/>
    </row>
    <row r="835" spans="1:1" ht="13.2" x14ac:dyDescent="0.25">
      <c r="A835" s="28"/>
    </row>
    <row r="836" spans="1:1" ht="13.2" x14ac:dyDescent="0.25">
      <c r="A836" s="28"/>
    </row>
    <row r="837" spans="1:1" ht="13.2" x14ac:dyDescent="0.25">
      <c r="A837" s="28"/>
    </row>
    <row r="838" spans="1:1" ht="13.2" x14ac:dyDescent="0.25">
      <c r="A838" s="28"/>
    </row>
    <row r="839" spans="1:1" ht="13.2" x14ac:dyDescent="0.25">
      <c r="A839" s="28"/>
    </row>
    <row r="840" spans="1:1" ht="13.2" x14ac:dyDescent="0.25">
      <c r="A840" s="28"/>
    </row>
    <row r="841" spans="1:1" ht="13.2" x14ac:dyDescent="0.25">
      <c r="A841" s="28"/>
    </row>
    <row r="842" spans="1:1" ht="13.2" x14ac:dyDescent="0.25">
      <c r="A842" s="28"/>
    </row>
    <row r="843" spans="1:1" ht="13.2" x14ac:dyDescent="0.25">
      <c r="A843" s="28"/>
    </row>
    <row r="844" spans="1:1" ht="13.2" x14ac:dyDescent="0.25">
      <c r="A844" s="28"/>
    </row>
    <row r="845" spans="1:1" ht="13.2" x14ac:dyDescent="0.25">
      <c r="A845" s="28"/>
    </row>
    <row r="846" spans="1:1" ht="13.2" x14ac:dyDescent="0.25">
      <c r="A846" s="28"/>
    </row>
    <row r="847" spans="1:1" ht="13.2" x14ac:dyDescent="0.25">
      <c r="A847" s="28"/>
    </row>
    <row r="848" spans="1:1" ht="13.2" x14ac:dyDescent="0.25">
      <c r="A848" s="28"/>
    </row>
    <row r="849" spans="1:1" ht="13.2" x14ac:dyDescent="0.25">
      <c r="A849" s="28"/>
    </row>
    <row r="850" spans="1:1" ht="13.2" x14ac:dyDescent="0.25">
      <c r="A850" s="28"/>
    </row>
    <row r="851" spans="1:1" ht="13.2" x14ac:dyDescent="0.25">
      <c r="A851" s="28"/>
    </row>
    <row r="852" spans="1:1" ht="13.2" x14ac:dyDescent="0.25">
      <c r="A852" s="28"/>
    </row>
    <row r="853" spans="1:1" ht="13.2" x14ac:dyDescent="0.25">
      <c r="A853" s="28"/>
    </row>
    <row r="854" spans="1:1" ht="13.2" x14ac:dyDescent="0.25">
      <c r="A854" s="28"/>
    </row>
    <row r="855" spans="1:1" ht="13.2" x14ac:dyDescent="0.25">
      <c r="A855" s="28"/>
    </row>
    <row r="856" spans="1:1" ht="13.2" x14ac:dyDescent="0.25">
      <c r="A856" s="28"/>
    </row>
    <row r="857" spans="1:1" ht="13.2" x14ac:dyDescent="0.25">
      <c r="A857" s="28"/>
    </row>
    <row r="858" spans="1:1" ht="13.2" x14ac:dyDescent="0.25">
      <c r="A858" s="28"/>
    </row>
    <row r="859" spans="1:1" ht="13.2" x14ac:dyDescent="0.25">
      <c r="A859" s="28"/>
    </row>
    <row r="860" spans="1:1" ht="13.2" x14ac:dyDescent="0.25">
      <c r="A860" s="28"/>
    </row>
    <row r="861" spans="1:1" ht="13.2" x14ac:dyDescent="0.25">
      <c r="A861" s="28"/>
    </row>
    <row r="862" spans="1:1" ht="13.2" x14ac:dyDescent="0.25">
      <c r="A862" s="28"/>
    </row>
    <row r="863" spans="1:1" ht="13.2" x14ac:dyDescent="0.25">
      <c r="A863" s="28"/>
    </row>
    <row r="864" spans="1:1" ht="13.2" x14ac:dyDescent="0.25">
      <c r="A864" s="28"/>
    </row>
    <row r="865" spans="1:1" ht="13.2" x14ac:dyDescent="0.25">
      <c r="A865" s="28"/>
    </row>
    <row r="866" spans="1:1" ht="13.2" x14ac:dyDescent="0.25">
      <c r="A866" s="28"/>
    </row>
    <row r="867" spans="1:1" ht="13.2" x14ac:dyDescent="0.25">
      <c r="A867" s="28"/>
    </row>
    <row r="868" spans="1:1" ht="13.2" x14ac:dyDescent="0.25">
      <c r="A868" s="28"/>
    </row>
    <row r="869" spans="1:1" ht="13.2" x14ac:dyDescent="0.25">
      <c r="A869" s="28"/>
    </row>
    <row r="870" spans="1:1" ht="13.2" x14ac:dyDescent="0.25">
      <c r="A870" s="28"/>
    </row>
    <row r="871" spans="1:1" ht="13.2" x14ac:dyDescent="0.25">
      <c r="A871" s="28"/>
    </row>
    <row r="872" spans="1:1" ht="13.2" x14ac:dyDescent="0.25">
      <c r="A872" s="28"/>
    </row>
    <row r="873" spans="1:1" ht="13.2" x14ac:dyDescent="0.25">
      <c r="A873" s="28"/>
    </row>
    <row r="874" spans="1:1" ht="13.2" x14ac:dyDescent="0.25">
      <c r="A874" s="28"/>
    </row>
    <row r="875" spans="1:1" ht="13.2" x14ac:dyDescent="0.25">
      <c r="A875" s="28"/>
    </row>
    <row r="876" spans="1:1" ht="13.2" x14ac:dyDescent="0.25">
      <c r="A876" s="28"/>
    </row>
    <row r="877" spans="1:1" ht="13.2" x14ac:dyDescent="0.25">
      <c r="A877" s="28"/>
    </row>
    <row r="878" spans="1:1" ht="13.2" x14ac:dyDescent="0.25">
      <c r="A878" s="28"/>
    </row>
    <row r="879" spans="1:1" ht="13.2" x14ac:dyDescent="0.25">
      <c r="A879" s="28"/>
    </row>
    <row r="880" spans="1:1" ht="13.2" x14ac:dyDescent="0.25">
      <c r="A880" s="28"/>
    </row>
    <row r="881" spans="1:1" ht="13.2" x14ac:dyDescent="0.25">
      <c r="A881" s="28"/>
    </row>
    <row r="882" spans="1:1" ht="13.2" x14ac:dyDescent="0.25">
      <c r="A882" s="28"/>
    </row>
    <row r="883" spans="1:1" ht="13.2" x14ac:dyDescent="0.25">
      <c r="A883" s="28"/>
    </row>
    <row r="884" spans="1:1" ht="13.2" x14ac:dyDescent="0.25">
      <c r="A884" s="28"/>
    </row>
    <row r="885" spans="1:1" ht="13.2" x14ac:dyDescent="0.25">
      <c r="A885" s="28"/>
    </row>
    <row r="886" spans="1:1" ht="13.2" x14ac:dyDescent="0.25">
      <c r="A886" s="28"/>
    </row>
    <row r="887" spans="1:1" ht="13.2" x14ac:dyDescent="0.25">
      <c r="A887" s="28"/>
    </row>
    <row r="888" spans="1:1" ht="13.2" x14ac:dyDescent="0.25">
      <c r="A888" s="28"/>
    </row>
    <row r="889" spans="1:1" ht="13.2" x14ac:dyDescent="0.25">
      <c r="A889" s="28"/>
    </row>
    <row r="890" spans="1:1" ht="13.2" x14ac:dyDescent="0.25">
      <c r="A890" s="28"/>
    </row>
    <row r="891" spans="1:1" ht="13.2" x14ac:dyDescent="0.25">
      <c r="A891" s="28"/>
    </row>
    <row r="892" spans="1:1" ht="13.2" x14ac:dyDescent="0.25">
      <c r="A892" s="28"/>
    </row>
    <row r="893" spans="1:1" ht="13.2" x14ac:dyDescent="0.25">
      <c r="A893" s="28"/>
    </row>
    <row r="894" spans="1:1" ht="13.2" x14ac:dyDescent="0.25">
      <c r="A894" s="28"/>
    </row>
    <row r="895" spans="1:1" ht="13.2" x14ac:dyDescent="0.25">
      <c r="A895" s="28"/>
    </row>
    <row r="896" spans="1:1" ht="13.2" x14ac:dyDescent="0.25">
      <c r="A896" s="28"/>
    </row>
    <row r="897" spans="1:1" ht="13.2" x14ac:dyDescent="0.25">
      <c r="A897" s="28"/>
    </row>
    <row r="898" spans="1:1" ht="13.2" x14ac:dyDescent="0.25">
      <c r="A898" s="28"/>
    </row>
    <row r="899" spans="1:1" ht="13.2" x14ac:dyDescent="0.25">
      <c r="A899" s="28"/>
    </row>
    <row r="900" spans="1:1" ht="13.2" x14ac:dyDescent="0.25">
      <c r="A900" s="28"/>
    </row>
    <row r="901" spans="1:1" ht="13.2" x14ac:dyDescent="0.25">
      <c r="A901" s="28"/>
    </row>
    <row r="902" spans="1:1" ht="13.2" x14ac:dyDescent="0.25">
      <c r="A902" s="28"/>
    </row>
    <row r="903" spans="1:1" ht="13.2" x14ac:dyDescent="0.25">
      <c r="A903" s="28"/>
    </row>
    <row r="904" spans="1:1" ht="13.2" x14ac:dyDescent="0.25">
      <c r="A904" s="28"/>
    </row>
    <row r="905" spans="1:1" ht="13.2" x14ac:dyDescent="0.25">
      <c r="A905" s="28"/>
    </row>
    <row r="906" spans="1:1" ht="13.2" x14ac:dyDescent="0.25">
      <c r="A906" s="28"/>
    </row>
    <row r="907" spans="1:1" ht="13.2" x14ac:dyDescent="0.25">
      <c r="A907" s="28"/>
    </row>
    <row r="908" spans="1:1" ht="13.2" x14ac:dyDescent="0.25">
      <c r="A908" s="28"/>
    </row>
    <row r="909" spans="1:1" ht="13.2" x14ac:dyDescent="0.25">
      <c r="A909" s="28"/>
    </row>
    <row r="910" spans="1:1" ht="13.2" x14ac:dyDescent="0.25">
      <c r="A910" s="28"/>
    </row>
    <row r="911" spans="1:1" ht="13.2" x14ac:dyDescent="0.25">
      <c r="A911" s="28"/>
    </row>
    <row r="912" spans="1:1" ht="13.2" x14ac:dyDescent="0.25">
      <c r="A912" s="28"/>
    </row>
    <row r="913" spans="1:1" ht="13.2" x14ac:dyDescent="0.25">
      <c r="A913" s="28"/>
    </row>
    <row r="914" spans="1:1" ht="13.2" x14ac:dyDescent="0.25">
      <c r="A914" s="28"/>
    </row>
    <row r="915" spans="1:1" ht="13.2" x14ac:dyDescent="0.25">
      <c r="A915" s="28"/>
    </row>
    <row r="916" spans="1:1" ht="13.2" x14ac:dyDescent="0.25">
      <c r="A916" s="28"/>
    </row>
    <row r="917" spans="1:1" ht="13.2" x14ac:dyDescent="0.25">
      <c r="A917" s="28"/>
    </row>
    <row r="918" spans="1:1" ht="13.2" x14ac:dyDescent="0.25">
      <c r="A918" s="28"/>
    </row>
    <row r="919" spans="1:1" ht="13.2" x14ac:dyDescent="0.25">
      <c r="A919" s="28"/>
    </row>
    <row r="920" spans="1:1" ht="13.2" x14ac:dyDescent="0.25">
      <c r="A920" s="28"/>
    </row>
    <row r="921" spans="1:1" ht="13.2" x14ac:dyDescent="0.25">
      <c r="A921" s="28"/>
    </row>
    <row r="922" spans="1:1" ht="13.2" x14ac:dyDescent="0.25">
      <c r="A922" s="28"/>
    </row>
    <row r="923" spans="1:1" ht="13.2" x14ac:dyDescent="0.25">
      <c r="A923" s="28"/>
    </row>
    <row r="924" spans="1:1" ht="13.2" x14ac:dyDescent="0.25">
      <c r="A924" s="28"/>
    </row>
    <row r="925" spans="1:1" ht="13.2" x14ac:dyDescent="0.25">
      <c r="A925" s="28"/>
    </row>
    <row r="926" spans="1:1" ht="13.2" x14ac:dyDescent="0.25">
      <c r="A926" s="28"/>
    </row>
    <row r="927" spans="1:1" ht="13.2" x14ac:dyDescent="0.25">
      <c r="A927" s="28"/>
    </row>
    <row r="928" spans="1:1" ht="13.2" x14ac:dyDescent="0.25">
      <c r="A928" s="28"/>
    </row>
    <row r="929" spans="1:1" ht="13.2" x14ac:dyDescent="0.25">
      <c r="A929" s="28"/>
    </row>
    <row r="930" spans="1:1" ht="13.2" x14ac:dyDescent="0.25">
      <c r="A930" s="28"/>
    </row>
    <row r="931" spans="1:1" ht="13.2" x14ac:dyDescent="0.25">
      <c r="A931" s="28"/>
    </row>
    <row r="932" spans="1:1" ht="13.2" x14ac:dyDescent="0.25">
      <c r="A932" s="28"/>
    </row>
    <row r="933" spans="1:1" ht="13.2" x14ac:dyDescent="0.25">
      <c r="A933" s="28"/>
    </row>
    <row r="934" spans="1:1" ht="13.2" x14ac:dyDescent="0.25">
      <c r="A934" s="28"/>
    </row>
    <row r="935" spans="1:1" ht="13.2" x14ac:dyDescent="0.25">
      <c r="A935" s="28"/>
    </row>
    <row r="936" spans="1:1" ht="13.2" x14ac:dyDescent="0.25">
      <c r="A936" s="28"/>
    </row>
    <row r="937" spans="1:1" ht="13.2" x14ac:dyDescent="0.25">
      <c r="A937" s="28"/>
    </row>
    <row r="938" spans="1:1" ht="13.2" x14ac:dyDescent="0.25">
      <c r="A938" s="28"/>
    </row>
    <row r="939" spans="1:1" ht="13.2" x14ac:dyDescent="0.25">
      <c r="A939" s="28"/>
    </row>
    <row r="940" spans="1:1" ht="13.2" x14ac:dyDescent="0.25">
      <c r="A940" s="28"/>
    </row>
    <row r="941" spans="1:1" ht="13.2" x14ac:dyDescent="0.25">
      <c r="A941" s="28"/>
    </row>
    <row r="942" spans="1:1" ht="13.2" x14ac:dyDescent="0.25">
      <c r="A942" s="28"/>
    </row>
    <row r="943" spans="1:1" ht="13.2" x14ac:dyDescent="0.25">
      <c r="A943" s="28"/>
    </row>
    <row r="944" spans="1:1" ht="13.2" x14ac:dyDescent="0.25">
      <c r="A944" s="28"/>
    </row>
    <row r="945" spans="1:1" ht="13.2" x14ac:dyDescent="0.25">
      <c r="A945" s="28"/>
    </row>
    <row r="946" spans="1:1" ht="13.2" x14ac:dyDescent="0.25">
      <c r="A946" s="28"/>
    </row>
    <row r="947" spans="1:1" ht="13.2" x14ac:dyDescent="0.25">
      <c r="A947" s="28"/>
    </row>
    <row r="948" spans="1:1" ht="13.2" x14ac:dyDescent="0.25">
      <c r="A948" s="28"/>
    </row>
    <row r="949" spans="1:1" ht="13.2" x14ac:dyDescent="0.25">
      <c r="A949" s="28"/>
    </row>
    <row r="950" spans="1:1" ht="13.2" x14ac:dyDescent="0.25">
      <c r="A950" s="28"/>
    </row>
    <row r="951" spans="1:1" ht="13.2" x14ac:dyDescent="0.25">
      <c r="A951" s="28"/>
    </row>
    <row r="952" spans="1:1" ht="13.2" x14ac:dyDescent="0.25">
      <c r="A952" s="28"/>
    </row>
    <row r="953" spans="1:1" ht="13.2" x14ac:dyDescent="0.25">
      <c r="A953" s="28"/>
    </row>
    <row r="954" spans="1:1" ht="13.2" x14ac:dyDescent="0.25">
      <c r="A954" s="28"/>
    </row>
    <row r="955" spans="1:1" ht="13.2" x14ac:dyDescent="0.25">
      <c r="A955" s="28"/>
    </row>
    <row r="956" spans="1:1" ht="13.2" x14ac:dyDescent="0.25">
      <c r="A956" s="28"/>
    </row>
    <row r="957" spans="1:1" ht="13.2" x14ac:dyDescent="0.25">
      <c r="A957" s="28"/>
    </row>
    <row r="958" spans="1:1" ht="13.2" x14ac:dyDescent="0.25">
      <c r="A958" s="28"/>
    </row>
    <row r="959" spans="1:1" ht="13.2" x14ac:dyDescent="0.25">
      <c r="A959" s="28"/>
    </row>
    <row r="960" spans="1:1" ht="13.2" x14ac:dyDescent="0.25">
      <c r="A960" s="28"/>
    </row>
    <row r="961" spans="1:1" ht="13.2" x14ac:dyDescent="0.25">
      <c r="A961" s="28"/>
    </row>
    <row r="962" spans="1:1" ht="13.2" x14ac:dyDescent="0.25">
      <c r="A962" s="28"/>
    </row>
    <row r="963" spans="1:1" ht="13.2" x14ac:dyDescent="0.25">
      <c r="A963" s="28"/>
    </row>
    <row r="964" spans="1:1" ht="13.2" x14ac:dyDescent="0.25">
      <c r="A964" s="28"/>
    </row>
    <row r="965" spans="1:1" ht="13.2" x14ac:dyDescent="0.25">
      <c r="A965" s="28"/>
    </row>
    <row r="966" spans="1:1" ht="13.2" x14ac:dyDescent="0.25">
      <c r="A966" s="28"/>
    </row>
    <row r="967" spans="1:1" ht="13.2" x14ac:dyDescent="0.25">
      <c r="A967" s="28"/>
    </row>
    <row r="968" spans="1:1" ht="13.2" x14ac:dyDescent="0.25">
      <c r="A968" s="28"/>
    </row>
    <row r="969" spans="1:1" ht="13.2" x14ac:dyDescent="0.25">
      <c r="A969" s="28"/>
    </row>
    <row r="970" spans="1:1" ht="13.2" x14ac:dyDescent="0.25">
      <c r="A970" s="28"/>
    </row>
    <row r="971" spans="1:1" ht="13.2" x14ac:dyDescent="0.25">
      <c r="A971" s="28"/>
    </row>
    <row r="972" spans="1:1" ht="13.2" x14ac:dyDescent="0.25">
      <c r="A972" s="28"/>
    </row>
    <row r="973" spans="1:1" ht="13.2" x14ac:dyDescent="0.25">
      <c r="A973" s="28"/>
    </row>
    <row r="974" spans="1:1" ht="13.2" x14ac:dyDescent="0.25">
      <c r="A974" s="28"/>
    </row>
    <row r="975" spans="1:1" ht="13.2" x14ac:dyDescent="0.25">
      <c r="A975" s="28"/>
    </row>
    <row r="976" spans="1:1" ht="13.2" x14ac:dyDescent="0.25">
      <c r="A976" s="28"/>
    </row>
    <row r="977" spans="1:1" ht="13.2" x14ac:dyDescent="0.25">
      <c r="A977" s="28"/>
    </row>
    <row r="978" spans="1:1" ht="13.2" x14ac:dyDescent="0.25">
      <c r="A978" s="28"/>
    </row>
    <row r="979" spans="1:1" ht="13.2" x14ac:dyDescent="0.25">
      <c r="A979" s="28"/>
    </row>
    <row r="980" spans="1:1" ht="13.2" x14ac:dyDescent="0.25">
      <c r="A980" s="28"/>
    </row>
    <row r="981" spans="1:1" ht="13.2" x14ac:dyDescent="0.25">
      <c r="A981" s="28"/>
    </row>
    <row r="982" spans="1:1" ht="13.2" x14ac:dyDescent="0.25">
      <c r="A982" s="28"/>
    </row>
    <row r="983" spans="1:1" ht="13.2" x14ac:dyDescent="0.25">
      <c r="A983" s="28"/>
    </row>
    <row r="984" spans="1:1" ht="13.2" x14ac:dyDescent="0.25">
      <c r="A984" s="28"/>
    </row>
    <row r="985" spans="1:1" ht="13.2" x14ac:dyDescent="0.25">
      <c r="A985" s="28"/>
    </row>
    <row r="986" spans="1:1" ht="13.2" x14ac:dyDescent="0.25">
      <c r="A986" s="28"/>
    </row>
    <row r="987" spans="1:1" ht="13.2" x14ac:dyDescent="0.25">
      <c r="A987" s="28"/>
    </row>
    <row r="988" spans="1:1" ht="13.2" x14ac:dyDescent="0.25">
      <c r="A988" s="28"/>
    </row>
    <row r="989" spans="1:1" ht="13.2" x14ac:dyDescent="0.25">
      <c r="A989" s="28"/>
    </row>
    <row r="990" spans="1:1" ht="13.2" x14ac:dyDescent="0.25">
      <c r="A990" s="28"/>
    </row>
    <row r="991" spans="1:1" ht="13.2" x14ac:dyDescent="0.25">
      <c r="A991" s="28"/>
    </row>
    <row r="992" spans="1:1" ht="13.2" x14ac:dyDescent="0.25">
      <c r="A992" s="28"/>
    </row>
    <row r="993" spans="1:1" ht="13.2" x14ac:dyDescent="0.25">
      <c r="A993" s="28"/>
    </row>
    <row r="994" spans="1:1" ht="13.2" x14ac:dyDescent="0.25">
      <c r="A994" s="28"/>
    </row>
    <row r="995" spans="1:1" ht="13.2" x14ac:dyDescent="0.25">
      <c r="A995" s="28"/>
    </row>
    <row r="996" spans="1:1" ht="13.2" x14ac:dyDescent="0.25">
      <c r="A996" s="28"/>
    </row>
    <row r="997" spans="1:1" ht="13.2" x14ac:dyDescent="0.25">
      <c r="A997" s="28"/>
    </row>
    <row r="998" spans="1:1" ht="13.2" x14ac:dyDescent="0.25">
      <c r="A998" s="28"/>
    </row>
    <row r="999" spans="1:1" ht="13.2" x14ac:dyDescent="0.25">
      <c r="A999" s="28"/>
    </row>
    <row r="1000" spans="1:1" ht="13.2" x14ac:dyDescent="0.25">
      <c r="A1000" s="2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799"/>
  <sheetViews>
    <sheetView workbookViewId="0"/>
  </sheetViews>
  <sheetFormatPr defaultColWidth="12.6640625" defaultRowHeight="15.75" customHeight="1" x14ac:dyDescent="0.25"/>
  <cols>
    <col min="1" max="1" width="26.77734375" customWidth="1"/>
    <col min="2" max="3" width="39.77734375" customWidth="1"/>
    <col min="4" max="4" width="37.33203125" customWidth="1"/>
    <col min="5" max="5" width="107.33203125" customWidth="1"/>
  </cols>
  <sheetData>
    <row r="1" spans="1:24" ht="15.75" customHeight="1" x14ac:dyDescent="0.25">
      <c r="A1" s="6" t="s">
        <v>309</v>
      </c>
      <c r="B1" s="89" t="s">
        <v>0</v>
      </c>
      <c r="C1" s="89" t="s">
        <v>310</v>
      </c>
      <c r="D1" s="89" t="s">
        <v>311</v>
      </c>
      <c r="E1" s="89" t="s">
        <v>312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.75" customHeight="1" x14ac:dyDescent="0.25">
      <c r="A2" s="9" t="s">
        <v>86</v>
      </c>
      <c r="B2" s="9" t="s">
        <v>2</v>
      </c>
      <c r="C2" s="74" t="s">
        <v>313</v>
      </c>
      <c r="D2" s="74" t="s">
        <v>314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5.75" customHeight="1" x14ac:dyDescent="0.25">
      <c r="A3" s="9" t="s">
        <v>86</v>
      </c>
      <c r="B3" s="9" t="s">
        <v>4</v>
      </c>
      <c r="C3" s="90">
        <v>0.71199999999999997</v>
      </c>
      <c r="D3" s="74" t="s">
        <v>314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.75" customHeight="1" x14ac:dyDescent="0.25">
      <c r="A4" s="9" t="s">
        <v>86</v>
      </c>
      <c r="B4" s="9" t="s">
        <v>6</v>
      </c>
      <c r="C4" s="90">
        <v>0.13100000000000001</v>
      </c>
      <c r="D4" s="74" t="s">
        <v>314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ht="15.75" customHeight="1" x14ac:dyDescent="0.25">
      <c r="A5" s="9" t="s">
        <v>86</v>
      </c>
      <c r="B5" s="9" t="s">
        <v>8</v>
      </c>
      <c r="C5" s="91">
        <v>0.7</v>
      </c>
      <c r="D5" s="74" t="s">
        <v>314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15.75" customHeight="1" x14ac:dyDescent="0.25">
      <c r="A6" s="9" t="s">
        <v>86</v>
      </c>
      <c r="B6" s="9" t="s">
        <v>10</v>
      </c>
      <c r="C6" s="74" t="s">
        <v>315</v>
      </c>
      <c r="D6" s="74" t="s">
        <v>316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.75" customHeight="1" x14ac:dyDescent="0.25">
      <c r="A7" s="9" t="s">
        <v>86</v>
      </c>
      <c r="B7" s="9" t="s">
        <v>12</v>
      </c>
      <c r="C7" s="74" t="s">
        <v>315</v>
      </c>
      <c r="D7" s="74" t="s">
        <v>316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25">
      <c r="A8" s="9" t="s">
        <v>86</v>
      </c>
      <c r="B8" s="9" t="s">
        <v>14</v>
      </c>
      <c r="C8" s="74" t="s">
        <v>315</v>
      </c>
      <c r="D8" s="74" t="s">
        <v>317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ht="15.75" customHeight="1" x14ac:dyDescent="0.25">
      <c r="A9" s="9" t="s">
        <v>86</v>
      </c>
      <c r="B9" s="9" t="s">
        <v>16</v>
      </c>
      <c r="C9" s="74" t="s">
        <v>318</v>
      </c>
      <c r="D9" s="74" t="s">
        <v>314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ht="15.75" customHeight="1" x14ac:dyDescent="0.25">
      <c r="A10" s="9" t="s">
        <v>86</v>
      </c>
      <c r="B10" s="9" t="s">
        <v>18</v>
      </c>
      <c r="C10" s="74" t="s">
        <v>319</v>
      </c>
      <c r="D10" s="74" t="s">
        <v>314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5.75" customHeight="1" x14ac:dyDescent="0.25">
      <c r="A11" s="9" t="s">
        <v>86</v>
      </c>
      <c r="B11" s="9" t="s">
        <v>20</v>
      </c>
      <c r="C11" s="74" t="s">
        <v>315</v>
      </c>
      <c r="D11" s="74" t="s">
        <v>317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5.75" customHeight="1" x14ac:dyDescent="0.25">
      <c r="A12" s="9" t="s">
        <v>86</v>
      </c>
      <c r="B12" s="9" t="s">
        <v>22</v>
      </c>
      <c r="C12" s="74" t="s">
        <v>320</v>
      </c>
      <c r="D12" s="74" t="s">
        <v>314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5.75" customHeight="1" x14ac:dyDescent="0.25">
      <c r="A13" s="9" t="s">
        <v>86</v>
      </c>
      <c r="B13" s="9" t="s">
        <v>24</v>
      </c>
      <c r="C13" s="74" t="s">
        <v>321</v>
      </c>
      <c r="D13" s="74" t="s">
        <v>314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5.75" customHeight="1" x14ac:dyDescent="0.25">
      <c r="A14" s="9" t="s">
        <v>86</v>
      </c>
      <c r="B14" s="9" t="s">
        <v>26</v>
      </c>
      <c r="C14" s="74" t="s">
        <v>322</v>
      </c>
      <c r="D14" s="74" t="s">
        <v>317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5.75" customHeight="1" x14ac:dyDescent="0.25">
      <c r="A15" s="9" t="s">
        <v>86</v>
      </c>
      <c r="B15" s="9" t="s">
        <v>28</v>
      </c>
      <c r="C15" s="74" t="s">
        <v>315</v>
      </c>
      <c r="D15" s="74" t="s">
        <v>316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5.75" customHeight="1" x14ac:dyDescent="0.25">
      <c r="A16" s="9" t="s">
        <v>86</v>
      </c>
      <c r="B16" s="9" t="s">
        <v>30</v>
      </c>
      <c r="C16" s="74" t="s">
        <v>315</v>
      </c>
      <c r="D16" s="74" t="s">
        <v>317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.75" customHeight="1" x14ac:dyDescent="0.25">
      <c r="A17" s="9" t="s">
        <v>86</v>
      </c>
      <c r="B17" s="9" t="s">
        <v>32</v>
      </c>
      <c r="C17" s="74" t="s">
        <v>323</v>
      </c>
      <c r="D17" s="74" t="s">
        <v>317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5.75" customHeight="1" x14ac:dyDescent="0.25">
      <c r="A18" s="9" t="s">
        <v>86</v>
      </c>
      <c r="B18" s="9" t="s">
        <v>34</v>
      </c>
      <c r="C18" s="74" t="s">
        <v>315</v>
      </c>
      <c r="D18" s="74" t="s">
        <v>316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5.75" customHeight="1" x14ac:dyDescent="0.25">
      <c r="A19" s="9" t="s">
        <v>86</v>
      </c>
      <c r="B19" s="9" t="s">
        <v>36</v>
      </c>
      <c r="C19" s="74" t="s">
        <v>315</v>
      </c>
      <c r="D19" s="74" t="s">
        <v>316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5.75" customHeight="1" x14ac:dyDescent="0.25">
      <c r="A20" s="9" t="s">
        <v>86</v>
      </c>
      <c r="B20" s="9" t="s">
        <v>38</v>
      </c>
      <c r="C20" s="74" t="s">
        <v>315</v>
      </c>
      <c r="D20" s="74" t="s">
        <v>316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.75" customHeight="1" x14ac:dyDescent="0.25">
      <c r="A21" s="9" t="s">
        <v>86</v>
      </c>
      <c r="B21" s="9" t="s">
        <v>40</v>
      </c>
      <c r="C21" s="74" t="s">
        <v>324</v>
      </c>
      <c r="D21" s="74" t="s">
        <v>314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5.75" customHeight="1" x14ac:dyDescent="0.25">
      <c r="A22" s="9" t="s">
        <v>86</v>
      </c>
      <c r="B22" s="9" t="s">
        <v>42</v>
      </c>
      <c r="C22" s="74" t="s">
        <v>325</v>
      </c>
      <c r="D22" s="74" t="s">
        <v>317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15.75" customHeight="1" x14ac:dyDescent="0.25">
      <c r="A23" s="9" t="s">
        <v>86</v>
      </c>
      <c r="B23" s="9" t="s">
        <v>44</v>
      </c>
      <c r="C23" s="74" t="s">
        <v>325</v>
      </c>
      <c r="D23" s="74" t="s">
        <v>317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1:24" ht="15.75" customHeight="1" x14ac:dyDescent="0.25">
      <c r="A24" s="9" t="s">
        <v>86</v>
      </c>
      <c r="B24" s="9" t="s">
        <v>46</v>
      </c>
      <c r="C24" s="74" t="s">
        <v>326</v>
      </c>
      <c r="D24" s="74" t="s">
        <v>314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1:24" ht="15.75" customHeight="1" x14ac:dyDescent="0.25">
      <c r="A25" s="9" t="s">
        <v>86</v>
      </c>
      <c r="B25" s="9" t="s">
        <v>48</v>
      </c>
      <c r="C25" s="74" t="s">
        <v>327</v>
      </c>
      <c r="D25" s="74" t="s">
        <v>314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24" ht="15.75" customHeight="1" x14ac:dyDescent="0.25">
      <c r="A26" s="9" t="s">
        <v>86</v>
      </c>
      <c r="B26" s="9" t="s">
        <v>124</v>
      </c>
      <c r="C26" s="74" t="s">
        <v>328</v>
      </c>
      <c r="D26" s="74" t="s">
        <v>314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ht="15.75" customHeight="1" x14ac:dyDescent="0.25">
      <c r="A27" s="9" t="s">
        <v>86</v>
      </c>
      <c r="B27" s="9" t="s">
        <v>126</v>
      </c>
      <c r="C27" s="74" t="s">
        <v>315</v>
      </c>
      <c r="D27" s="74" t="s">
        <v>317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ht="15.75" customHeight="1" x14ac:dyDescent="0.25">
      <c r="A28" s="9" t="s">
        <v>86</v>
      </c>
      <c r="B28" s="9" t="s">
        <v>130</v>
      </c>
      <c r="C28" s="74" t="s">
        <v>315</v>
      </c>
      <c r="D28" s="74" t="s">
        <v>317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ht="15.75" customHeight="1" x14ac:dyDescent="0.25">
      <c r="A29" s="9" t="s">
        <v>86</v>
      </c>
      <c r="B29" s="9" t="s">
        <v>131</v>
      </c>
      <c r="C29" s="74" t="s">
        <v>315</v>
      </c>
      <c r="D29" s="74" t="s">
        <v>317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ht="15.75" customHeight="1" x14ac:dyDescent="0.25">
      <c r="A30" s="9" t="s">
        <v>86</v>
      </c>
      <c r="B30" s="9" t="s">
        <v>132</v>
      </c>
      <c r="C30" s="74" t="s">
        <v>329</v>
      </c>
      <c r="D30" s="74" t="s">
        <v>317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spans="1:24" ht="15.75" customHeight="1" x14ac:dyDescent="0.25">
      <c r="A31" s="9" t="s">
        <v>86</v>
      </c>
      <c r="B31" s="9" t="s">
        <v>330</v>
      </c>
      <c r="C31" s="92">
        <v>2362470000</v>
      </c>
      <c r="D31" s="92" t="s">
        <v>314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ht="13.2" x14ac:dyDescent="0.25">
      <c r="A32" s="9" t="s">
        <v>86</v>
      </c>
      <c r="B32" s="9" t="s">
        <v>50</v>
      </c>
      <c r="C32" s="74" t="s">
        <v>331</v>
      </c>
      <c r="D32" s="74" t="s">
        <v>332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1:24" ht="13.2" x14ac:dyDescent="0.25">
      <c r="A33" s="9" t="s">
        <v>86</v>
      </c>
      <c r="B33" s="9" t="s">
        <v>333</v>
      </c>
      <c r="C33" s="92">
        <v>1424080000</v>
      </c>
      <c r="D33" s="92" t="s">
        <v>314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1:24" ht="13.2" x14ac:dyDescent="0.25">
      <c r="A34" s="9" t="s">
        <v>86</v>
      </c>
      <c r="B34" s="9" t="s">
        <v>52</v>
      </c>
      <c r="C34" s="74" t="s">
        <v>334</v>
      </c>
      <c r="D34" s="74" t="s">
        <v>332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ht="13.2" x14ac:dyDescent="0.25">
      <c r="A35" s="9" t="s">
        <v>86</v>
      </c>
      <c r="B35" s="9" t="s">
        <v>335</v>
      </c>
      <c r="C35" s="92">
        <v>938390000</v>
      </c>
      <c r="D35" s="92" t="s">
        <v>314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spans="1:24" ht="13.2" x14ac:dyDescent="0.25">
      <c r="A36" s="9" t="s">
        <v>86</v>
      </c>
      <c r="B36" s="9" t="s">
        <v>54</v>
      </c>
      <c r="C36" s="74" t="s">
        <v>336</v>
      </c>
      <c r="D36" s="74" t="s">
        <v>332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ht="13.2" x14ac:dyDescent="0.25">
      <c r="A37" s="9" t="s">
        <v>86</v>
      </c>
      <c r="B37" s="9" t="s">
        <v>134</v>
      </c>
      <c r="C37" s="74" t="s">
        <v>315</v>
      </c>
      <c r="D37" s="74" t="s">
        <v>316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ht="13.2" x14ac:dyDescent="0.25">
      <c r="A38" s="9" t="s">
        <v>86</v>
      </c>
      <c r="B38" s="9" t="s">
        <v>135</v>
      </c>
      <c r="C38" s="74" t="s">
        <v>315</v>
      </c>
      <c r="D38" s="74" t="s">
        <v>316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1:24" ht="13.2" x14ac:dyDescent="0.25">
      <c r="A39" s="9" t="s">
        <v>86</v>
      </c>
      <c r="B39" s="9" t="s">
        <v>136</v>
      </c>
      <c r="C39" s="74" t="s">
        <v>315</v>
      </c>
      <c r="D39" s="74" t="s">
        <v>316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ht="13.2" x14ac:dyDescent="0.25">
      <c r="A40" s="9" t="s">
        <v>86</v>
      </c>
      <c r="B40" s="9" t="s">
        <v>56</v>
      </c>
      <c r="C40" s="74" t="s">
        <v>315</v>
      </c>
      <c r="D40" s="74" t="s">
        <v>316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spans="1:24" ht="13.2" x14ac:dyDescent="0.25">
      <c r="A41" s="9" t="s">
        <v>86</v>
      </c>
      <c r="B41" s="9" t="s">
        <v>337</v>
      </c>
      <c r="C41" s="74" t="s">
        <v>338</v>
      </c>
      <c r="D41" s="74" t="s">
        <v>317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ht="13.2" x14ac:dyDescent="0.25">
      <c r="A42" s="9" t="s">
        <v>86</v>
      </c>
      <c r="B42" s="9" t="s">
        <v>339</v>
      </c>
      <c r="C42" s="74" t="s">
        <v>340</v>
      </c>
      <c r="D42" s="74" t="s">
        <v>317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ht="13.2" x14ac:dyDescent="0.25">
      <c r="A43" s="9" t="s">
        <v>86</v>
      </c>
      <c r="B43" s="9" t="s">
        <v>66</v>
      </c>
      <c r="C43" s="91">
        <v>0.16</v>
      </c>
      <c r="D43" s="74" t="s">
        <v>314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ht="13.2" x14ac:dyDescent="0.25">
      <c r="A44" s="9" t="s">
        <v>86</v>
      </c>
      <c r="B44" s="9" t="s">
        <v>68</v>
      </c>
      <c r="C44" s="91">
        <v>0.3</v>
      </c>
      <c r="D44" s="74" t="s">
        <v>314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ht="13.2" x14ac:dyDescent="0.25">
      <c r="A45" s="9" t="s">
        <v>86</v>
      </c>
      <c r="B45" s="9" t="s">
        <v>341</v>
      </c>
      <c r="C45" s="74" t="s">
        <v>315</v>
      </c>
      <c r="D45" s="74" t="s">
        <v>316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13.2" x14ac:dyDescent="0.25">
      <c r="A46" s="9" t="s">
        <v>86</v>
      </c>
      <c r="B46" s="9" t="s">
        <v>72</v>
      </c>
      <c r="C46" s="74" t="s">
        <v>315</v>
      </c>
      <c r="D46" s="74" t="s">
        <v>316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3.2" x14ac:dyDescent="0.25">
      <c r="A47" s="9" t="s">
        <v>86</v>
      </c>
      <c r="B47" s="9" t="s">
        <v>342</v>
      </c>
      <c r="C47" s="90">
        <v>0.105</v>
      </c>
      <c r="D47" s="74" t="s">
        <v>314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spans="1:24" ht="13.2" x14ac:dyDescent="0.25">
      <c r="A48" s="9" t="s">
        <v>86</v>
      </c>
      <c r="B48" s="9" t="s">
        <v>343</v>
      </c>
      <c r="C48" s="74" t="s">
        <v>315</v>
      </c>
      <c r="D48" s="74" t="s">
        <v>316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ht="13.2" x14ac:dyDescent="0.25">
      <c r="A49" s="9" t="s">
        <v>86</v>
      </c>
      <c r="B49" s="9" t="s">
        <v>344</v>
      </c>
      <c r="C49" s="74" t="s">
        <v>315</v>
      </c>
      <c r="D49" s="74" t="s">
        <v>316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spans="1:24" ht="13.2" x14ac:dyDescent="0.25">
      <c r="A50" s="9" t="s">
        <v>86</v>
      </c>
      <c r="B50" s="9" t="s">
        <v>345</v>
      </c>
      <c r="C50" s="74" t="s">
        <v>315</v>
      </c>
      <c r="D50" s="74" t="s">
        <v>316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ht="13.2" x14ac:dyDescent="0.25">
      <c r="A51" s="9" t="s">
        <v>86</v>
      </c>
      <c r="B51" s="9" t="s">
        <v>346</v>
      </c>
      <c r="C51" s="74" t="s">
        <v>315</v>
      </c>
      <c r="D51" s="74" t="s">
        <v>316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spans="1:24" ht="13.2" x14ac:dyDescent="0.25">
      <c r="A52" s="9" t="s">
        <v>86</v>
      </c>
      <c r="B52" s="9" t="s">
        <v>347</v>
      </c>
      <c r="C52" s="74" t="s">
        <v>315</v>
      </c>
      <c r="D52" s="74" t="s">
        <v>316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ht="13.2" x14ac:dyDescent="0.25">
      <c r="A53" s="9" t="s">
        <v>86</v>
      </c>
      <c r="B53" s="9" t="s">
        <v>348</v>
      </c>
      <c r="C53" s="74" t="s">
        <v>315</v>
      </c>
      <c r="D53" s="74" t="s">
        <v>316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spans="1:24" ht="13.2" x14ac:dyDescent="0.25">
      <c r="A54" s="9" t="s">
        <v>86</v>
      </c>
      <c r="B54" s="9" t="s">
        <v>349</v>
      </c>
      <c r="C54" s="74" t="s">
        <v>350</v>
      </c>
      <c r="D54" s="74" t="s">
        <v>314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spans="1:24" ht="13.2" x14ac:dyDescent="0.25">
      <c r="A55" s="9" t="s">
        <v>86</v>
      </c>
      <c r="B55" s="9" t="s">
        <v>150</v>
      </c>
      <c r="C55" s="74" t="s">
        <v>315</v>
      </c>
      <c r="D55" s="74" t="s">
        <v>316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spans="1:24" ht="13.2" x14ac:dyDescent="0.25">
      <c r="A56" s="9" t="s">
        <v>86</v>
      </c>
      <c r="B56" s="9" t="s">
        <v>351</v>
      </c>
      <c r="C56" s="74" t="s">
        <v>315</v>
      </c>
      <c r="D56" s="74" t="s">
        <v>316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spans="1:24" ht="13.2" x14ac:dyDescent="0.25">
      <c r="A57" s="9" t="s">
        <v>86</v>
      </c>
      <c r="B57" s="9" t="s">
        <v>152</v>
      </c>
      <c r="C57" s="74" t="s">
        <v>352</v>
      </c>
      <c r="D57" s="74" t="s">
        <v>314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spans="1:24" ht="13.2" x14ac:dyDescent="0.25">
      <c r="A58" s="9" t="s">
        <v>86</v>
      </c>
      <c r="B58" s="9" t="s">
        <v>78</v>
      </c>
      <c r="C58" s="74">
        <v>2025</v>
      </c>
      <c r="D58" s="74" t="s">
        <v>314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ht="13.2" x14ac:dyDescent="0.25">
      <c r="A59" s="9" t="s">
        <v>86</v>
      </c>
      <c r="B59" s="9" t="s">
        <v>80</v>
      </c>
      <c r="C59" s="74">
        <v>2030</v>
      </c>
      <c r="D59" s="74" t="s">
        <v>314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ht="13.2" x14ac:dyDescent="0.25">
      <c r="A60" s="9" t="s">
        <v>86</v>
      </c>
      <c r="B60" s="9" t="s">
        <v>82</v>
      </c>
      <c r="C60" s="74">
        <v>2030</v>
      </c>
      <c r="D60" s="74" t="s">
        <v>314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spans="1:24" ht="13.2" x14ac:dyDescent="0.25">
      <c r="A61" s="9" t="s">
        <v>353</v>
      </c>
      <c r="B61" s="9" t="s">
        <v>2</v>
      </c>
      <c r="C61" s="74" t="s">
        <v>354</v>
      </c>
      <c r="D61" s="74" t="s">
        <v>314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ht="13.2" x14ac:dyDescent="0.25">
      <c r="A62" s="9" t="s">
        <v>353</v>
      </c>
      <c r="B62" s="9" t="s">
        <v>4</v>
      </c>
      <c r="C62" s="74" t="s">
        <v>355</v>
      </c>
      <c r="D62" s="74" t="s">
        <v>317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spans="1:24" ht="13.2" x14ac:dyDescent="0.25">
      <c r="A63" s="9" t="s">
        <v>353</v>
      </c>
      <c r="B63" s="9" t="s">
        <v>6</v>
      </c>
      <c r="C63" s="74" t="s">
        <v>356</v>
      </c>
      <c r="D63" s="74" t="s">
        <v>316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spans="1:24" ht="13.2" x14ac:dyDescent="0.25">
      <c r="A64" s="9" t="s">
        <v>353</v>
      </c>
      <c r="B64" s="9" t="s">
        <v>8</v>
      </c>
      <c r="C64" s="91">
        <v>1</v>
      </c>
      <c r="D64" s="74" t="s">
        <v>314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spans="1:24" ht="13.2" x14ac:dyDescent="0.25">
      <c r="A65" s="9" t="s">
        <v>353</v>
      </c>
      <c r="B65" s="9" t="s">
        <v>10</v>
      </c>
      <c r="C65" s="74" t="s">
        <v>315</v>
      </c>
      <c r="D65" s="74" t="s">
        <v>316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spans="1:24" ht="13.2" x14ac:dyDescent="0.25">
      <c r="A66" s="9" t="s">
        <v>353</v>
      </c>
      <c r="B66" s="9" t="s">
        <v>12</v>
      </c>
      <c r="C66" s="74" t="s">
        <v>315</v>
      </c>
      <c r="D66" s="74" t="s">
        <v>316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ht="13.2" x14ac:dyDescent="0.25">
      <c r="A67" s="9" t="s">
        <v>353</v>
      </c>
      <c r="B67" s="9" t="s">
        <v>14</v>
      </c>
      <c r="C67" s="74" t="s">
        <v>357</v>
      </c>
      <c r="D67" s="74" t="s">
        <v>317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13.2" x14ac:dyDescent="0.25">
      <c r="A68" s="9" t="s">
        <v>353</v>
      </c>
      <c r="B68" s="9" t="s">
        <v>16</v>
      </c>
      <c r="C68" s="74" t="s">
        <v>358</v>
      </c>
      <c r="D68" s="74" t="s">
        <v>314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13.2" x14ac:dyDescent="0.25">
      <c r="A69" s="9" t="s">
        <v>353</v>
      </c>
      <c r="B69" s="9" t="s">
        <v>18</v>
      </c>
      <c r="C69" s="74" t="s">
        <v>359</v>
      </c>
      <c r="D69" s="74" t="s">
        <v>314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ht="13.2" x14ac:dyDescent="0.25">
      <c r="A70" s="9" t="s">
        <v>353</v>
      </c>
      <c r="B70" s="9" t="s">
        <v>20</v>
      </c>
      <c r="C70" s="74" t="s">
        <v>315</v>
      </c>
      <c r="D70" s="74" t="s">
        <v>317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ht="13.2" x14ac:dyDescent="0.25">
      <c r="A71" s="9" t="s">
        <v>353</v>
      </c>
      <c r="B71" s="9" t="s">
        <v>22</v>
      </c>
      <c r="C71" s="74" t="s">
        <v>360</v>
      </c>
      <c r="D71" s="74" t="s">
        <v>314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ht="13.2" x14ac:dyDescent="0.25">
      <c r="A72" s="9" t="s">
        <v>353</v>
      </c>
      <c r="B72" s="9" t="s">
        <v>24</v>
      </c>
      <c r="C72" s="74" t="s">
        <v>361</v>
      </c>
      <c r="D72" s="74" t="s">
        <v>314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spans="1:24" ht="13.2" x14ac:dyDescent="0.25">
      <c r="A73" s="9" t="s">
        <v>353</v>
      </c>
      <c r="B73" s="9" t="s">
        <v>26</v>
      </c>
      <c r="C73" s="74" t="s">
        <v>362</v>
      </c>
      <c r="D73" s="74" t="s">
        <v>314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spans="1:24" ht="13.2" x14ac:dyDescent="0.25">
      <c r="A74" s="9" t="s">
        <v>353</v>
      </c>
      <c r="B74" s="9" t="s">
        <v>28</v>
      </c>
      <c r="C74" s="74" t="s">
        <v>363</v>
      </c>
      <c r="D74" s="74" t="s">
        <v>314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ht="13.2" x14ac:dyDescent="0.25">
      <c r="A75" s="9" t="s">
        <v>353</v>
      </c>
      <c r="B75" s="9" t="s">
        <v>30</v>
      </c>
      <c r="C75" s="74" t="s">
        <v>315</v>
      </c>
      <c r="D75" s="74" t="s">
        <v>316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ht="13.2" x14ac:dyDescent="0.25">
      <c r="A76" s="9" t="s">
        <v>353</v>
      </c>
      <c r="B76" s="9" t="s">
        <v>32</v>
      </c>
      <c r="C76" s="74" t="s">
        <v>315</v>
      </c>
      <c r="D76" s="74" t="s">
        <v>316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spans="1:24" ht="13.2" x14ac:dyDescent="0.25">
      <c r="A77" s="9" t="s">
        <v>353</v>
      </c>
      <c r="B77" s="9" t="s">
        <v>34</v>
      </c>
      <c r="C77" s="74" t="s">
        <v>364</v>
      </c>
      <c r="D77" s="74" t="s">
        <v>317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spans="1:24" ht="13.2" x14ac:dyDescent="0.25">
      <c r="A78" s="9" t="s">
        <v>353</v>
      </c>
      <c r="B78" s="9" t="s">
        <v>36</v>
      </c>
      <c r="C78" s="74" t="s">
        <v>365</v>
      </c>
      <c r="D78" s="74" t="s">
        <v>314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spans="1:24" ht="13.2" x14ac:dyDescent="0.25">
      <c r="A79" s="9" t="s">
        <v>353</v>
      </c>
      <c r="B79" s="9" t="s">
        <v>38</v>
      </c>
      <c r="C79" s="74" t="s">
        <v>315</v>
      </c>
      <c r="D79" s="74" t="s">
        <v>316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spans="1:24" ht="13.2" x14ac:dyDescent="0.25">
      <c r="A80" s="9" t="s">
        <v>353</v>
      </c>
      <c r="B80" s="9" t="s">
        <v>40</v>
      </c>
      <c r="C80" s="74" t="s">
        <v>366</v>
      </c>
      <c r="D80" s="74" t="s">
        <v>317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ht="13.2" x14ac:dyDescent="0.25">
      <c r="A81" s="9" t="s">
        <v>353</v>
      </c>
      <c r="B81" s="9" t="s">
        <v>42</v>
      </c>
      <c r="C81" s="74" t="s">
        <v>315</v>
      </c>
      <c r="D81" s="74" t="s">
        <v>317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ht="13.2" x14ac:dyDescent="0.25">
      <c r="A82" s="9" t="s">
        <v>353</v>
      </c>
      <c r="B82" s="9" t="s">
        <v>44</v>
      </c>
      <c r="C82" s="74" t="s">
        <v>315</v>
      </c>
      <c r="D82" s="74" t="s">
        <v>317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ht="13.2" x14ac:dyDescent="0.25">
      <c r="A83" s="9" t="s">
        <v>353</v>
      </c>
      <c r="B83" s="9" t="s">
        <v>46</v>
      </c>
      <c r="C83" s="74" t="s">
        <v>367</v>
      </c>
      <c r="D83" s="74" t="s">
        <v>314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ht="13.2" x14ac:dyDescent="0.25">
      <c r="A84" s="9" t="s">
        <v>353</v>
      </c>
      <c r="B84" s="9" t="s">
        <v>48</v>
      </c>
      <c r="C84" s="74" t="s">
        <v>315</v>
      </c>
      <c r="D84" s="74" t="s">
        <v>316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spans="1:24" ht="13.2" x14ac:dyDescent="0.25">
      <c r="A85" s="9" t="s">
        <v>353</v>
      </c>
      <c r="B85" s="9" t="s">
        <v>124</v>
      </c>
      <c r="C85" s="74" t="s">
        <v>368</v>
      </c>
      <c r="D85" s="74" t="s">
        <v>314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spans="1:24" ht="13.2" x14ac:dyDescent="0.25">
      <c r="A86" s="9" t="s">
        <v>353</v>
      </c>
      <c r="B86" s="9" t="s">
        <v>126</v>
      </c>
      <c r="C86" s="74" t="s">
        <v>369</v>
      </c>
      <c r="D86" s="74" t="s">
        <v>314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spans="1:24" ht="13.2" x14ac:dyDescent="0.25">
      <c r="A87" s="9" t="s">
        <v>353</v>
      </c>
      <c r="B87" s="9" t="s">
        <v>130</v>
      </c>
      <c r="C87" s="74" t="s">
        <v>370</v>
      </c>
      <c r="D87" s="74" t="s">
        <v>317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spans="1:24" ht="13.2" x14ac:dyDescent="0.25">
      <c r="A88" s="9" t="s">
        <v>353</v>
      </c>
      <c r="B88" s="9" t="s">
        <v>131</v>
      </c>
      <c r="C88" s="74" t="s">
        <v>315</v>
      </c>
      <c r="D88" s="74" t="s">
        <v>316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spans="1:24" ht="13.2" x14ac:dyDescent="0.25">
      <c r="A89" s="9" t="s">
        <v>353</v>
      </c>
      <c r="B89" s="9" t="s">
        <v>132</v>
      </c>
      <c r="C89" s="74" t="s">
        <v>315</v>
      </c>
      <c r="D89" s="74" t="s">
        <v>316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spans="1:24" ht="13.2" x14ac:dyDescent="0.25">
      <c r="A90" s="9" t="s">
        <v>353</v>
      </c>
      <c r="B90" s="9" t="s">
        <v>50</v>
      </c>
      <c r="C90" s="74" t="s">
        <v>371</v>
      </c>
      <c r="D90" s="74" t="s">
        <v>314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spans="1:24" ht="13.2" x14ac:dyDescent="0.25">
      <c r="A91" s="9" t="s">
        <v>353</v>
      </c>
      <c r="B91" s="9" t="s">
        <v>52</v>
      </c>
      <c r="C91" s="74" t="s">
        <v>372</v>
      </c>
      <c r="D91" s="74" t="s">
        <v>314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spans="1:24" ht="13.2" x14ac:dyDescent="0.25">
      <c r="A92" s="9" t="s">
        <v>353</v>
      </c>
      <c r="B92" s="9" t="s">
        <v>54</v>
      </c>
      <c r="C92" s="74" t="s">
        <v>373</v>
      </c>
      <c r="D92" s="74" t="s">
        <v>314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spans="1:24" ht="13.2" x14ac:dyDescent="0.25">
      <c r="A93" s="9" t="s">
        <v>353</v>
      </c>
      <c r="B93" s="9" t="s">
        <v>134</v>
      </c>
      <c r="C93" s="74" t="s">
        <v>315</v>
      </c>
      <c r="D93" s="74" t="s">
        <v>316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spans="1:24" ht="13.2" x14ac:dyDescent="0.25">
      <c r="A94" s="9" t="s">
        <v>353</v>
      </c>
      <c r="B94" s="9" t="s">
        <v>135</v>
      </c>
      <c r="C94" s="74" t="s">
        <v>315</v>
      </c>
      <c r="D94" s="74" t="s">
        <v>316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spans="1:24" ht="13.2" x14ac:dyDescent="0.25">
      <c r="A95" s="9" t="s">
        <v>353</v>
      </c>
      <c r="B95" s="9" t="s">
        <v>136</v>
      </c>
      <c r="C95" s="74" t="s">
        <v>315</v>
      </c>
      <c r="D95" s="74" t="s">
        <v>316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spans="1:24" ht="13.2" x14ac:dyDescent="0.25">
      <c r="A96" s="9" t="s">
        <v>353</v>
      </c>
      <c r="B96" s="9" t="s">
        <v>56</v>
      </c>
      <c r="C96" s="74" t="s">
        <v>315</v>
      </c>
      <c r="D96" s="74" t="s">
        <v>316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spans="1:24" ht="13.2" x14ac:dyDescent="0.25">
      <c r="A97" s="9" t="s">
        <v>353</v>
      </c>
      <c r="B97" s="9" t="s">
        <v>337</v>
      </c>
      <c r="C97" s="74" t="s">
        <v>374</v>
      </c>
      <c r="D97" s="74" t="s">
        <v>317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ht="13.2" x14ac:dyDescent="0.25">
      <c r="A98" s="9" t="s">
        <v>353</v>
      </c>
      <c r="B98" s="9" t="s">
        <v>339</v>
      </c>
      <c r="C98" s="74" t="s">
        <v>315</v>
      </c>
      <c r="D98" s="74" t="s">
        <v>316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ht="13.2" x14ac:dyDescent="0.25">
      <c r="A99" s="9" t="s">
        <v>353</v>
      </c>
      <c r="B99" s="9" t="s">
        <v>66</v>
      </c>
      <c r="C99" s="74" t="s">
        <v>375</v>
      </c>
      <c r="D99" s="74" t="s">
        <v>317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spans="1:24" ht="13.2" x14ac:dyDescent="0.25">
      <c r="A100" s="9" t="s">
        <v>353</v>
      </c>
      <c r="B100" s="9" t="s">
        <v>68</v>
      </c>
      <c r="C100" s="91">
        <v>0.5</v>
      </c>
      <c r="D100" s="74" t="s">
        <v>314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spans="1:24" ht="13.2" x14ac:dyDescent="0.25">
      <c r="A101" s="9" t="s">
        <v>353</v>
      </c>
      <c r="B101" s="9" t="s">
        <v>341</v>
      </c>
      <c r="C101" s="74" t="s">
        <v>315</v>
      </c>
      <c r="D101" s="74" t="s">
        <v>316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spans="1:24" ht="13.2" x14ac:dyDescent="0.25">
      <c r="A102" s="9" t="s">
        <v>353</v>
      </c>
      <c r="B102" s="9" t="s">
        <v>72</v>
      </c>
      <c r="C102" s="74" t="s">
        <v>315</v>
      </c>
      <c r="D102" s="74" t="s">
        <v>316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spans="1:24" ht="13.2" x14ac:dyDescent="0.25">
      <c r="A103" s="9" t="s">
        <v>353</v>
      </c>
      <c r="B103" s="9" t="s">
        <v>342</v>
      </c>
      <c r="C103" s="74" t="s">
        <v>376</v>
      </c>
      <c r="D103" s="74" t="s">
        <v>314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spans="1:24" ht="13.2" x14ac:dyDescent="0.25">
      <c r="A104" s="9" t="s">
        <v>353</v>
      </c>
      <c r="B104" s="9" t="s">
        <v>343</v>
      </c>
      <c r="C104" s="90">
        <v>0.86899999999999999</v>
      </c>
      <c r="D104" s="74" t="s">
        <v>314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spans="1:24" ht="13.2" x14ac:dyDescent="0.25">
      <c r="A105" s="9" t="s">
        <v>353</v>
      </c>
      <c r="B105" s="9" t="s">
        <v>344</v>
      </c>
      <c r="C105" s="90">
        <v>0.253</v>
      </c>
      <c r="D105" s="74" t="s">
        <v>314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spans="1:24" ht="13.2" x14ac:dyDescent="0.25">
      <c r="A106" s="9" t="s">
        <v>353</v>
      </c>
      <c r="B106" s="9" t="s">
        <v>345</v>
      </c>
      <c r="C106" s="90">
        <v>0.24399999999999999</v>
      </c>
      <c r="D106" s="74" t="s">
        <v>314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1:24" ht="13.2" x14ac:dyDescent="0.25">
      <c r="A107" s="9" t="s">
        <v>353</v>
      </c>
      <c r="B107" s="9" t="s">
        <v>346</v>
      </c>
      <c r="C107" s="74" t="s">
        <v>315</v>
      </c>
      <c r="D107" s="74" t="s">
        <v>316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spans="1:24" ht="13.2" x14ac:dyDescent="0.25">
      <c r="A108" s="9" t="s">
        <v>353</v>
      </c>
      <c r="B108" s="9" t="s">
        <v>347</v>
      </c>
      <c r="C108" s="90">
        <v>0.42699999999999999</v>
      </c>
      <c r="D108" s="74" t="s">
        <v>314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spans="1:24" ht="13.2" x14ac:dyDescent="0.25">
      <c r="A109" s="9" t="s">
        <v>353</v>
      </c>
      <c r="B109" s="9" t="s">
        <v>348</v>
      </c>
      <c r="C109" s="74" t="s">
        <v>315</v>
      </c>
      <c r="D109" s="74" t="s">
        <v>316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ht="13.2" x14ac:dyDescent="0.25">
      <c r="A110" s="9" t="s">
        <v>353</v>
      </c>
      <c r="B110" s="9" t="s">
        <v>349</v>
      </c>
      <c r="C110" s="91">
        <v>0.9</v>
      </c>
      <c r="D110" s="74" t="s">
        <v>314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ht="13.2" x14ac:dyDescent="0.25">
      <c r="A111" s="9" t="s">
        <v>353</v>
      </c>
      <c r="B111" s="9" t="s">
        <v>150</v>
      </c>
      <c r="C111" s="91">
        <v>0.66</v>
      </c>
      <c r="D111" s="74" t="s">
        <v>314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ht="13.2" x14ac:dyDescent="0.25">
      <c r="A112" s="9" t="s">
        <v>353</v>
      </c>
      <c r="B112" s="9" t="s">
        <v>351</v>
      </c>
      <c r="C112" s="74" t="s">
        <v>315</v>
      </c>
      <c r="D112" s="74" t="s">
        <v>316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spans="1:24" ht="13.2" x14ac:dyDescent="0.25">
      <c r="A113" s="9" t="s">
        <v>353</v>
      </c>
      <c r="B113" s="9" t="s">
        <v>152</v>
      </c>
      <c r="C113" s="74" t="s">
        <v>377</v>
      </c>
      <c r="D113" s="74" t="s">
        <v>317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t="13.2" x14ac:dyDescent="0.25">
      <c r="A114" s="9" t="s">
        <v>353</v>
      </c>
      <c r="B114" s="9" t="s">
        <v>78</v>
      </c>
      <c r="C114" s="74">
        <v>2025</v>
      </c>
      <c r="D114" s="74" t="s">
        <v>314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t="13.2" x14ac:dyDescent="0.25">
      <c r="A115" s="9" t="s">
        <v>353</v>
      </c>
      <c r="B115" s="9" t="s">
        <v>80</v>
      </c>
      <c r="C115" s="74">
        <v>2030</v>
      </c>
      <c r="D115" s="74" t="s">
        <v>314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t="13.2" x14ac:dyDescent="0.25">
      <c r="A116" s="9" t="s">
        <v>353</v>
      </c>
      <c r="B116" s="9" t="s">
        <v>82</v>
      </c>
      <c r="C116" s="74">
        <v>2030</v>
      </c>
      <c r="D116" s="74" t="s">
        <v>314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t="13.2" x14ac:dyDescent="0.25">
      <c r="A117" s="9" t="s">
        <v>88</v>
      </c>
      <c r="B117" s="9" t="s">
        <v>2</v>
      </c>
      <c r="C117" s="74" t="s">
        <v>378</v>
      </c>
      <c r="D117" s="74" t="s">
        <v>314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ht="13.2" x14ac:dyDescent="0.25">
      <c r="A118" s="9" t="s">
        <v>88</v>
      </c>
      <c r="B118" s="9" t="s">
        <v>4</v>
      </c>
      <c r="C118" s="90">
        <v>0.66300000000000003</v>
      </c>
      <c r="D118" s="74" t="s">
        <v>314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1:24" ht="13.2" x14ac:dyDescent="0.25">
      <c r="A119" s="9" t="s">
        <v>88</v>
      </c>
      <c r="B119" s="9" t="s">
        <v>6</v>
      </c>
      <c r="C119" s="90">
        <v>0.17599999999999999</v>
      </c>
      <c r="D119" s="74" t="s">
        <v>314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1:24" ht="13.2" x14ac:dyDescent="0.25">
      <c r="A120" s="9" t="s">
        <v>88</v>
      </c>
      <c r="B120" s="9" t="s">
        <v>8</v>
      </c>
      <c r="C120" s="91">
        <v>0.7</v>
      </c>
      <c r="D120" s="74" t="s">
        <v>314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1:24" ht="13.2" x14ac:dyDescent="0.25">
      <c r="A121" s="9" t="s">
        <v>88</v>
      </c>
      <c r="B121" s="9" t="s">
        <v>10</v>
      </c>
      <c r="C121" s="74" t="s">
        <v>315</v>
      </c>
      <c r="D121" s="74" t="s">
        <v>316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1:24" ht="13.2" x14ac:dyDescent="0.25">
      <c r="A122" s="9" t="s">
        <v>88</v>
      </c>
      <c r="B122" s="9" t="s">
        <v>12</v>
      </c>
      <c r="C122" s="74" t="s">
        <v>315</v>
      </c>
      <c r="D122" s="74" t="s">
        <v>316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ht="13.2" x14ac:dyDescent="0.25">
      <c r="A123" s="9" t="s">
        <v>88</v>
      </c>
      <c r="B123" s="9" t="s">
        <v>14</v>
      </c>
      <c r="C123" s="74" t="s">
        <v>379</v>
      </c>
      <c r="D123" s="74" t="s">
        <v>314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ht="13.2" x14ac:dyDescent="0.25">
      <c r="A124" s="9" t="s">
        <v>88</v>
      </c>
      <c r="B124" s="9" t="s">
        <v>16</v>
      </c>
      <c r="C124" s="74" t="s">
        <v>380</v>
      </c>
      <c r="D124" s="74" t="s">
        <v>314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1:24" ht="13.2" x14ac:dyDescent="0.25">
      <c r="A125" s="9" t="s">
        <v>88</v>
      </c>
      <c r="B125" s="9" t="s">
        <v>18</v>
      </c>
      <c r="C125" s="74" t="s">
        <v>381</v>
      </c>
      <c r="D125" s="74" t="s">
        <v>314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spans="1:24" ht="13.2" x14ac:dyDescent="0.25">
      <c r="A126" s="9" t="s">
        <v>88</v>
      </c>
      <c r="B126" s="9" t="s">
        <v>20</v>
      </c>
      <c r="C126" s="74" t="s">
        <v>315</v>
      </c>
      <c r="D126" s="74" t="s">
        <v>317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spans="1:24" ht="13.2" x14ac:dyDescent="0.25">
      <c r="A127" s="9" t="s">
        <v>88</v>
      </c>
      <c r="B127" s="9" t="s">
        <v>22</v>
      </c>
      <c r="C127" s="74" t="s">
        <v>382</v>
      </c>
      <c r="D127" s="74" t="s">
        <v>317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spans="1:24" ht="13.2" x14ac:dyDescent="0.25">
      <c r="A128" s="9" t="s">
        <v>88</v>
      </c>
      <c r="B128" s="9" t="s">
        <v>24</v>
      </c>
      <c r="C128" s="74" t="s">
        <v>382</v>
      </c>
      <c r="D128" s="74" t="s">
        <v>317</v>
      </c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spans="1:24" ht="13.2" x14ac:dyDescent="0.25">
      <c r="A129" s="9" t="s">
        <v>88</v>
      </c>
      <c r="B129" s="9" t="s">
        <v>26</v>
      </c>
      <c r="C129" s="74" t="s">
        <v>383</v>
      </c>
      <c r="D129" s="74" t="s">
        <v>317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spans="1:24" ht="13.2" x14ac:dyDescent="0.25">
      <c r="A130" s="9" t="s">
        <v>88</v>
      </c>
      <c r="B130" s="9" t="s">
        <v>28</v>
      </c>
      <c r="C130" s="74" t="s">
        <v>315</v>
      </c>
      <c r="D130" s="74" t="s">
        <v>316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spans="1:24" ht="13.2" x14ac:dyDescent="0.25">
      <c r="A131" s="9" t="s">
        <v>88</v>
      </c>
      <c r="B131" s="9" t="s">
        <v>30</v>
      </c>
      <c r="C131" s="74" t="s">
        <v>384</v>
      </c>
      <c r="D131" s="74" t="s">
        <v>317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spans="1:24" ht="13.2" x14ac:dyDescent="0.25">
      <c r="A132" s="9" t="s">
        <v>88</v>
      </c>
      <c r="B132" s="9" t="s">
        <v>32</v>
      </c>
      <c r="C132" s="74" t="s">
        <v>315</v>
      </c>
      <c r="D132" s="74" t="s">
        <v>316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spans="1:24" ht="13.2" x14ac:dyDescent="0.25">
      <c r="A133" s="9" t="s">
        <v>88</v>
      </c>
      <c r="B133" s="9" t="s">
        <v>34</v>
      </c>
      <c r="C133" s="74" t="s">
        <v>315</v>
      </c>
      <c r="D133" s="74" t="s">
        <v>316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ht="13.2" x14ac:dyDescent="0.25">
      <c r="A134" s="9" t="s">
        <v>88</v>
      </c>
      <c r="B134" s="9" t="s">
        <v>36</v>
      </c>
      <c r="C134" s="74" t="s">
        <v>315</v>
      </c>
      <c r="D134" s="74" t="s">
        <v>316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ht="13.2" x14ac:dyDescent="0.25">
      <c r="A135" s="9" t="s">
        <v>88</v>
      </c>
      <c r="B135" s="9" t="s">
        <v>38</v>
      </c>
      <c r="C135" s="74" t="s">
        <v>315</v>
      </c>
      <c r="D135" s="74" t="s">
        <v>316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spans="1:24" ht="13.2" x14ac:dyDescent="0.25">
      <c r="A136" s="9" t="s">
        <v>88</v>
      </c>
      <c r="B136" s="9" t="s">
        <v>40</v>
      </c>
      <c r="C136" s="74" t="s">
        <v>385</v>
      </c>
      <c r="D136" s="74" t="s">
        <v>314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ht="13.2" x14ac:dyDescent="0.25">
      <c r="A137" s="9" t="s">
        <v>88</v>
      </c>
      <c r="B137" s="9" t="s">
        <v>42</v>
      </c>
      <c r="C137" s="74" t="s">
        <v>386</v>
      </c>
      <c r="D137" s="74" t="s">
        <v>314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ht="13.2" x14ac:dyDescent="0.25">
      <c r="A138" s="9" t="s">
        <v>88</v>
      </c>
      <c r="B138" s="9" t="s">
        <v>44</v>
      </c>
      <c r="C138" s="74" t="s">
        <v>387</v>
      </c>
      <c r="D138" s="74" t="s">
        <v>314</v>
      </c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spans="1:24" ht="13.2" x14ac:dyDescent="0.25">
      <c r="A139" s="9" t="s">
        <v>88</v>
      </c>
      <c r="B139" s="9" t="s">
        <v>46</v>
      </c>
      <c r="C139" s="74" t="s">
        <v>315</v>
      </c>
      <c r="D139" s="74" t="s">
        <v>316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ht="13.2" x14ac:dyDescent="0.25">
      <c r="A140" s="9" t="s">
        <v>88</v>
      </c>
      <c r="B140" s="9" t="s">
        <v>48</v>
      </c>
      <c r="C140" s="74" t="s">
        <v>315</v>
      </c>
      <c r="D140" s="74" t="s">
        <v>316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ht="13.2" x14ac:dyDescent="0.25">
      <c r="A141" s="9" t="s">
        <v>88</v>
      </c>
      <c r="B141" s="9" t="s">
        <v>124</v>
      </c>
      <c r="C141" s="74" t="s">
        <v>388</v>
      </c>
      <c r="D141" s="74" t="s">
        <v>314</v>
      </c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spans="1:24" ht="13.2" x14ac:dyDescent="0.25">
      <c r="A142" s="9" t="s">
        <v>88</v>
      </c>
      <c r="B142" s="9" t="s">
        <v>126</v>
      </c>
      <c r="C142" s="74" t="s">
        <v>389</v>
      </c>
      <c r="D142" s="74" t="s">
        <v>314</v>
      </c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ht="13.2" x14ac:dyDescent="0.25">
      <c r="A143" s="9" t="s">
        <v>88</v>
      </c>
      <c r="B143" s="9" t="s">
        <v>130</v>
      </c>
      <c r="C143" s="74" t="s">
        <v>390</v>
      </c>
      <c r="D143" s="74" t="s">
        <v>314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ht="13.2" x14ac:dyDescent="0.25">
      <c r="A144" s="9" t="s">
        <v>88</v>
      </c>
      <c r="B144" s="9" t="s">
        <v>131</v>
      </c>
      <c r="C144" s="74" t="s">
        <v>391</v>
      </c>
      <c r="D144" s="74" t="s">
        <v>314</v>
      </c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spans="1:24" ht="13.2" x14ac:dyDescent="0.25">
      <c r="A145" s="9" t="s">
        <v>88</v>
      </c>
      <c r="B145" s="9" t="s">
        <v>132</v>
      </c>
      <c r="C145" s="74" t="s">
        <v>392</v>
      </c>
      <c r="D145" s="74" t="s">
        <v>314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ht="13.2" x14ac:dyDescent="0.25">
      <c r="A146" s="9" t="s">
        <v>88</v>
      </c>
      <c r="B146" s="9" t="s">
        <v>50</v>
      </c>
      <c r="C146" s="74" t="s">
        <v>393</v>
      </c>
      <c r="D146" s="74" t="s">
        <v>314</v>
      </c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ht="13.2" x14ac:dyDescent="0.25">
      <c r="A147" s="9" t="s">
        <v>88</v>
      </c>
      <c r="B147" s="9" t="s">
        <v>52</v>
      </c>
      <c r="C147" s="74" t="s">
        <v>394</v>
      </c>
      <c r="D147" s="74" t="s">
        <v>314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spans="1:24" ht="13.2" x14ac:dyDescent="0.25">
      <c r="A148" s="9" t="s">
        <v>88</v>
      </c>
      <c r="B148" s="9" t="s">
        <v>54</v>
      </c>
      <c r="C148" s="74" t="s">
        <v>395</v>
      </c>
      <c r="D148" s="74" t="s">
        <v>314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ht="13.2" x14ac:dyDescent="0.25">
      <c r="A149" s="9" t="s">
        <v>88</v>
      </c>
      <c r="B149" s="9" t="s">
        <v>134</v>
      </c>
      <c r="C149" s="74" t="s">
        <v>315</v>
      </c>
      <c r="D149" s="74" t="s">
        <v>316</v>
      </c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ht="13.2" x14ac:dyDescent="0.25">
      <c r="A150" s="9" t="s">
        <v>88</v>
      </c>
      <c r="B150" s="9" t="s">
        <v>135</v>
      </c>
      <c r="C150" s="74" t="s">
        <v>396</v>
      </c>
      <c r="D150" s="74" t="s">
        <v>317</v>
      </c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ht="13.2" x14ac:dyDescent="0.25">
      <c r="A151" s="9" t="s">
        <v>88</v>
      </c>
      <c r="B151" s="9" t="s">
        <v>136</v>
      </c>
      <c r="C151" s="74" t="s">
        <v>397</v>
      </c>
      <c r="D151" s="74" t="s">
        <v>317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spans="1:24" ht="13.2" x14ac:dyDescent="0.25">
      <c r="A152" s="9" t="s">
        <v>88</v>
      </c>
      <c r="B152" s="9" t="s">
        <v>56</v>
      </c>
      <c r="C152" s="74" t="s">
        <v>315</v>
      </c>
      <c r="D152" s="74" t="s">
        <v>316</v>
      </c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spans="1:24" ht="13.2" x14ac:dyDescent="0.25">
      <c r="A153" s="9" t="s">
        <v>88</v>
      </c>
      <c r="B153" s="9" t="s">
        <v>337</v>
      </c>
      <c r="C153" s="74" t="s">
        <v>398</v>
      </c>
      <c r="D153" s="74" t="s">
        <v>317</v>
      </c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spans="1:24" ht="13.2" x14ac:dyDescent="0.25">
      <c r="A154" s="9" t="s">
        <v>88</v>
      </c>
      <c r="B154" s="9" t="s">
        <v>339</v>
      </c>
      <c r="C154" s="74" t="s">
        <v>315</v>
      </c>
      <c r="D154" s="74" t="s">
        <v>316</v>
      </c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ht="13.2" x14ac:dyDescent="0.25">
      <c r="A155" s="9" t="s">
        <v>88</v>
      </c>
      <c r="B155" s="9" t="s">
        <v>66</v>
      </c>
      <c r="C155" s="91">
        <v>0.83</v>
      </c>
      <c r="D155" s="74" t="s">
        <v>314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ht="13.2" x14ac:dyDescent="0.25">
      <c r="A156" s="9" t="s">
        <v>88</v>
      </c>
      <c r="B156" s="9" t="s">
        <v>68</v>
      </c>
      <c r="C156" s="91">
        <v>0.99</v>
      </c>
      <c r="D156" s="74" t="s">
        <v>314</v>
      </c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spans="1:24" ht="13.2" x14ac:dyDescent="0.25">
      <c r="A157" s="9" t="s">
        <v>88</v>
      </c>
      <c r="B157" s="9" t="s">
        <v>341</v>
      </c>
      <c r="C157" s="74" t="s">
        <v>399</v>
      </c>
      <c r="D157" s="74" t="s">
        <v>314</v>
      </c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spans="1:24" ht="13.2" x14ac:dyDescent="0.25">
      <c r="A158" s="9" t="s">
        <v>88</v>
      </c>
      <c r="B158" s="9" t="s">
        <v>72</v>
      </c>
      <c r="C158" s="74" t="s">
        <v>315</v>
      </c>
      <c r="D158" s="74" t="s">
        <v>316</v>
      </c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spans="1:24" ht="13.2" x14ac:dyDescent="0.25">
      <c r="A159" s="9" t="s">
        <v>88</v>
      </c>
      <c r="B159" s="9" t="s">
        <v>342</v>
      </c>
      <c r="C159" s="74" t="s">
        <v>315</v>
      </c>
      <c r="D159" s="74" t="s">
        <v>316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spans="1:24" ht="13.2" x14ac:dyDescent="0.25">
      <c r="A160" s="9" t="s">
        <v>88</v>
      </c>
      <c r="B160" s="9" t="s">
        <v>343</v>
      </c>
      <c r="C160" s="74" t="s">
        <v>315</v>
      </c>
      <c r="D160" s="74" t="s">
        <v>316</v>
      </c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spans="1:24" ht="13.2" x14ac:dyDescent="0.25">
      <c r="A161" s="9" t="s">
        <v>88</v>
      </c>
      <c r="B161" s="9" t="s">
        <v>344</v>
      </c>
      <c r="C161" s="74" t="s">
        <v>315</v>
      </c>
      <c r="D161" s="74" t="s">
        <v>316</v>
      </c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ht="13.2" x14ac:dyDescent="0.25">
      <c r="A162" s="9" t="s">
        <v>88</v>
      </c>
      <c r="B162" s="9" t="s">
        <v>345</v>
      </c>
      <c r="C162" s="74" t="s">
        <v>315</v>
      </c>
      <c r="D162" s="74" t="s">
        <v>316</v>
      </c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ht="13.2" x14ac:dyDescent="0.25">
      <c r="A163" s="9" t="s">
        <v>88</v>
      </c>
      <c r="B163" s="9" t="s">
        <v>346</v>
      </c>
      <c r="C163" s="74" t="s">
        <v>315</v>
      </c>
      <c r="D163" s="74" t="s">
        <v>316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spans="1:24" ht="13.2" x14ac:dyDescent="0.25">
      <c r="A164" s="9" t="s">
        <v>88</v>
      </c>
      <c r="B164" s="9" t="s">
        <v>347</v>
      </c>
      <c r="C164" s="74" t="s">
        <v>315</v>
      </c>
      <c r="D164" s="74" t="s">
        <v>316</v>
      </c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ht="13.2" x14ac:dyDescent="0.25">
      <c r="A165" s="9" t="s">
        <v>88</v>
      </c>
      <c r="B165" s="9" t="s">
        <v>348</v>
      </c>
      <c r="C165" s="74" t="s">
        <v>315</v>
      </c>
      <c r="D165" s="74" t="s">
        <v>316</v>
      </c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spans="1:24" ht="13.2" x14ac:dyDescent="0.25">
      <c r="A166" s="9" t="s">
        <v>88</v>
      </c>
      <c r="B166" s="9" t="s">
        <v>349</v>
      </c>
      <c r="C166" s="74" t="s">
        <v>400</v>
      </c>
      <c r="D166" s="74" t="s">
        <v>314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spans="1:24" ht="13.2" x14ac:dyDescent="0.25">
      <c r="A167" s="9" t="s">
        <v>88</v>
      </c>
      <c r="B167" s="9" t="s">
        <v>150</v>
      </c>
      <c r="C167" s="74" t="s">
        <v>315</v>
      </c>
      <c r="D167" s="74" t="s">
        <v>316</v>
      </c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ht="13.2" x14ac:dyDescent="0.25">
      <c r="A168" s="9" t="s">
        <v>88</v>
      </c>
      <c r="B168" s="9" t="s">
        <v>351</v>
      </c>
      <c r="C168" s="74" t="s">
        <v>401</v>
      </c>
      <c r="D168" s="74" t="s">
        <v>314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spans="1:24" ht="13.2" x14ac:dyDescent="0.25">
      <c r="A169" s="9" t="s">
        <v>88</v>
      </c>
      <c r="B169" s="9" t="s">
        <v>152</v>
      </c>
      <c r="C169" s="74" t="s">
        <v>402</v>
      </c>
      <c r="D169" s="74" t="s">
        <v>314</v>
      </c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spans="1:24" ht="13.2" x14ac:dyDescent="0.25">
      <c r="A170" s="9" t="s">
        <v>88</v>
      </c>
      <c r="B170" s="9" t="s">
        <v>78</v>
      </c>
      <c r="C170" s="74">
        <v>2025</v>
      </c>
      <c r="D170" s="74" t="s">
        <v>314</v>
      </c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ht="13.2" x14ac:dyDescent="0.25">
      <c r="A171" s="9" t="s">
        <v>88</v>
      </c>
      <c r="B171" s="9" t="s">
        <v>80</v>
      </c>
      <c r="C171" s="74">
        <v>2030</v>
      </c>
      <c r="D171" s="74" t="s">
        <v>314</v>
      </c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ht="13.2" x14ac:dyDescent="0.25">
      <c r="A172" s="9" t="s">
        <v>88</v>
      </c>
      <c r="B172" s="9" t="s">
        <v>82</v>
      </c>
      <c r="C172" s="74">
        <v>2030</v>
      </c>
      <c r="D172" s="74" t="s">
        <v>314</v>
      </c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spans="1:24" ht="13.2" x14ac:dyDescent="0.25">
      <c r="A173" s="9" t="s">
        <v>89</v>
      </c>
      <c r="B173" s="9" t="s">
        <v>2</v>
      </c>
      <c r="C173" s="74" t="s">
        <v>403</v>
      </c>
      <c r="D173" s="74" t="s">
        <v>314</v>
      </c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spans="1:24" ht="13.2" x14ac:dyDescent="0.25">
      <c r="A174" s="9" t="s">
        <v>89</v>
      </c>
      <c r="B174" s="9" t="s">
        <v>4</v>
      </c>
      <c r="C174" s="74" t="s">
        <v>315</v>
      </c>
      <c r="D174" s="74" t="s">
        <v>316</v>
      </c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spans="1:24" ht="13.2" x14ac:dyDescent="0.25">
      <c r="A175" s="9" t="s">
        <v>89</v>
      </c>
      <c r="B175" s="9" t="s">
        <v>6</v>
      </c>
      <c r="C175" s="74" t="s">
        <v>315</v>
      </c>
      <c r="D175" s="74" t="s">
        <v>316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spans="1:24" ht="13.2" x14ac:dyDescent="0.25">
      <c r="A176" s="9" t="s">
        <v>89</v>
      </c>
      <c r="B176" s="9" t="s">
        <v>8</v>
      </c>
      <c r="C176" s="91">
        <v>1</v>
      </c>
      <c r="D176" s="74" t="s">
        <v>314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spans="1:24" ht="13.2" x14ac:dyDescent="0.25">
      <c r="A177" s="9" t="s">
        <v>89</v>
      </c>
      <c r="B177" s="9" t="s">
        <v>10</v>
      </c>
      <c r="C177" s="74" t="s">
        <v>315</v>
      </c>
      <c r="D177" s="74" t="s">
        <v>316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spans="1:24" ht="13.2" x14ac:dyDescent="0.25">
      <c r="A178" s="9" t="s">
        <v>89</v>
      </c>
      <c r="B178" s="9" t="s">
        <v>12</v>
      </c>
      <c r="C178" s="74" t="s">
        <v>315</v>
      </c>
      <c r="D178" s="74" t="s">
        <v>316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spans="1:24" ht="13.2" x14ac:dyDescent="0.25">
      <c r="A179" s="9" t="s">
        <v>89</v>
      </c>
      <c r="B179" s="9" t="s">
        <v>14</v>
      </c>
      <c r="C179" s="74" t="s">
        <v>404</v>
      </c>
      <c r="D179" s="74" t="s">
        <v>317</v>
      </c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spans="1:24" ht="13.2" x14ac:dyDescent="0.25">
      <c r="A180" s="9" t="s">
        <v>89</v>
      </c>
      <c r="B180" s="9" t="s">
        <v>16</v>
      </c>
      <c r="C180" s="74" t="s">
        <v>405</v>
      </c>
      <c r="D180" s="74" t="s">
        <v>317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spans="1:24" ht="13.2" x14ac:dyDescent="0.25">
      <c r="A181" s="9" t="s">
        <v>89</v>
      </c>
      <c r="B181" s="9" t="s">
        <v>18</v>
      </c>
      <c r="C181" s="74" t="s">
        <v>406</v>
      </c>
      <c r="D181" s="74" t="s">
        <v>314</v>
      </c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spans="1:24" ht="13.2" x14ac:dyDescent="0.25">
      <c r="A182" s="9" t="s">
        <v>89</v>
      </c>
      <c r="B182" s="9" t="s">
        <v>20</v>
      </c>
      <c r="C182" s="74" t="s">
        <v>315</v>
      </c>
      <c r="D182" s="74" t="s">
        <v>316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spans="1:24" ht="13.2" x14ac:dyDescent="0.25">
      <c r="A183" s="9" t="s">
        <v>89</v>
      </c>
      <c r="B183" s="9" t="s">
        <v>22</v>
      </c>
      <c r="C183" s="74" t="s">
        <v>382</v>
      </c>
      <c r="D183" s="74" t="s">
        <v>316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spans="1:24" ht="13.2" x14ac:dyDescent="0.25">
      <c r="A184" s="9" t="s">
        <v>89</v>
      </c>
      <c r="B184" s="9" t="s">
        <v>24</v>
      </c>
      <c r="C184" s="74" t="s">
        <v>382</v>
      </c>
      <c r="D184" s="74" t="s">
        <v>316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spans="1:24" ht="13.2" x14ac:dyDescent="0.25">
      <c r="A185" s="9" t="s">
        <v>89</v>
      </c>
      <c r="B185" s="9" t="s">
        <v>26</v>
      </c>
      <c r="C185" s="74" t="s">
        <v>407</v>
      </c>
      <c r="D185" s="74" t="s">
        <v>317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spans="1:24" ht="13.2" x14ac:dyDescent="0.25">
      <c r="A186" s="9" t="s">
        <v>89</v>
      </c>
      <c r="B186" s="9" t="s">
        <v>28</v>
      </c>
      <c r="C186" s="74" t="s">
        <v>315</v>
      </c>
      <c r="D186" s="74" t="s">
        <v>316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ht="13.2" x14ac:dyDescent="0.25">
      <c r="A187" s="9" t="s">
        <v>89</v>
      </c>
      <c r="B187" s="9" t="s">
        <v>30</v>
      </c>
      <c r="C187" s="74" t="s">
        <v>408</v>
      </c>
      <c r="D187" s="74" t="s">
        <v>317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spans="1:24" ht="13.2" x14ac:dyDescent="0.25">
      <c r="A188" s="9" t="s">
        <v>89</v>
      </c>
      <c r="B188" s="9" t="s">
        <v>32</v>
      </c>
      <c r="C188" s="74" t="s">
        <v>315</v>
      </c>
      <c r="D188" s="74" t="s">
        <v>316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spans="1:24" ht="13.2" x14ac:dyDescent="0.25">
      <c r="A189" s="9" t="s">
        <v>89</v>
      </c>
      <c r="B189" s="9" t="s">
        <v>34</v>
      </c>
      <c r="C189" s="74" t="s">
        <v>315</v>
      </c>
      <c r="D189" s="74" t="s">
        <v>316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ht="13.2" x14ac:dyDescent="0.25">
      <c r="A190" s="9" t="s">
        <v>89</v>
      </c>
      <c r="B190" s="9" t="s">
        <v>36</v>
      </c>
      <c r="C190" s="74" t="s">
        <v>315</v>
      </c>
      <c r="D190" s="74" t="s">
        <v>316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spans="1:24" ht="13.2" x14ac:dyDescent="0.25">
      <c r="A191" s="9" t="s">
        <v>89</v>
      </c>
      <c r="B191" s="9" t="s">
        <v>38</v>
      </c>
      <c r="C191" s="74" t="s">
        <v>315</v>
      </c>
      <c r="D191" s="74" t="s">
        <v>316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ht="13.2" x14ac:dyDescent="0.25">
      <c r="A192" s="9" t="s">
        <v>89</v>
      </c>
      <c r="B192" s="9" t="s">
        <v>40</v>
      </c>
      <c r="C192" s="74" t="s">
        <v>315</v>
      </c>
      <c r="D192" s="74" t="s">
        <v>316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spans="1:24" ht="13.2" x14ac:dyDescent="0.25">
      <c r="A193" s="9" t="s">
        <v>89</v>
      </c>
      <c r="B193" s="9" t="s">
        <v>42</v>
      </c>
      <c r="C193" s="74" t="s">
        <v>409</v>
      </c>
      <c r="D193" s="74" t="s">
        <v>317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spans="1:24" ht="13.2" x14ac:dyDescent="0.25">
      <c r="A194" s="9" t="s">
        <v>89</v>
      </c>
      <c r="B194" s="9" t="s">
        <v>44</v>
      </c>
      <c r="C194" s="74" t="s">
        <v>315</v>
      </c>
      <c r="D194" s="74" t="s">
        <v>316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spans="1:24" ht="13.2" x14ac:dyDescent="0.25">
      <c r="A195" s="9" t="s">
        <v>89</v>
      </c>
      <c r="B195" s="9" t="s">
        <v>46</v>
      </c>
      <c r="C195" s="74" t="s">
        <v>315</v>
      </c>
      <c r="D195" s="74" t="s">
        <v>316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spans="1:24" ht="13.2" x14ac:dyDescent="0.25">
      <c r="A196" s="9" t="s">
        <v>89</v>
      </c>
      <c r="B196" s="9" t="s">
        <v>48</v>
      </c>
      <c r="C196" s="74" t="s">
        <v>410</v>
      </c>
      <c r="D196" s="74" t="s">
        <v>411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spans="1:24" ht="13.2" x14ac:dyDescent="0.25">
      <c r="A197" s="9" t="s">
        <v>89</v>
      </c>
      <c r="B197" s="9" t="s">
        <v>124</v>
      </c>
      <c r="C197" s="74" t="s">
        <v>412</v>
      </c>
      <c r="D197" s="74" t="s">
        <v>317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ht="13.2" x14ac:dyDescent="0.25">
      <c r="A198" s="9" t="s">
        <v>89</v>
      </c>
      <c r="B198" s="9" t="s">
        <v>126</v>
      </c>
      <c r="C198" s="74" t="s">
        <v>315</v>
      </c>
      <c r="D198" s="74" t="s">
        <v>316</v>
      </c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spans="1:24" ht="13.2" x14ac:dyDescent="0.25">
      <c r="A199" s="9" t="s">
        <v>89</v>
      </c>
      <c r="B199" s="9" t="s">
        <v>130</v>
      </c>
      <c r="C199" s="74" t="s">
        <v>315</v>
      </c>
      <c r="D199" s="74" t="s">
        <v>316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spans="1:24" ht="13.2" x14ac:dyDescent="0.25">
      <c r="A200" s="9" t="s">
        <v>89</v>
      </c>
      <c r="B200" s="9" t="s">
        <v>131</v>
      </c>
      <c r="C200" s="74" t="s">
        <v>315</v>
      </c>
      <c r="D200" s="74" t="s">
        <v>316</v>
      </c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ht="13.2" x14ac:dyDescent="0.25">
      <c r="A201" s="9" t="s">
        <v>89</v>
      </c>
      <c r="B201" s="9" t="s">
        <v>132</v>
      </c>
      <c r="C201" s="74" t="s">
        <v>315</v>
      </c>
      <c r="D201" s="74" t="s">
        <v>316</v>
      </c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spans="1:24" ht="13.2" x14ac:dyDescent="0.25">
      <c r="A202" s="9" t="s">
        <v>89</v>
      </c>
      <c r="B202" s="9" t="s">
        <v>50</v>
      </c>
      <c r="C202" s="74" t="s">
        <v>413</v>
      </c>
      <c r="D202" s="74" t="s">
        <v>314</v>
      </c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spans="1:24" ht="13.2" x14ac:dyDescent="0.25">
      <c r="A203" s="9" t="s">
        <v>89</v>
      </c>
      <c r="B203" s="9" t="s">
        <v>52</v>
      </c>
      <c r="C203" s="74" t="s">
        <v>414</v>
      </c>
      <c r="D203" s="74" t="s">
        <v>314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ht="13.2" x14ac:dyDescent="0.25">
      <c r="A204" s="9" t="s">
        <v>89</v>
      </c>
      <c r="B204" s="9" t="s">
        <v>54</v>
      </c>
      <c r="C204" s="74" t="s">
        <v>415</v>
      </c>
      <c r="D204" s="74" t="s">
        <v>314</v>
      </c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spans="1:24" ht="13.2" x14ac:dyDescent="0.25">
      <c r="A205" s="9" t="s">
        <v>89</v>
      </c>
      <c r="B205" s="9" t="s">
        <v>134</v>
      </c>
      <c r="C205" s="74" t="s">
        <v>315</v>
      </c>
      <c r="D205" s="74" t="s">
        <v>316</v>
      </c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spans="1:24" ht="13.2" x14ac:dyDescent="0.25">
      <c r="A206" s="9" t="s">
        <v>89</v>
      </c>
      <c r="B206" s="9" t="s">
        <v>135</v>
      </c>
      <c r="C206" s="74" t="s">
        <v>315</v>
      </c>
      <c r="D206" s="74" t="s">
        <v>316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spans="1:24" ht="13.2" x14ac:dyDescent="0.25">
      <c r="A207" s="9" t="s">
        <v>89</v>
      </c>
      <c r="B207" s="9" t="s">
        <v>136</v>
      </c>
      <c r="C207" s="74" t="s">
        <v>315</v>
      </c>
      <c r="D207" s="74" t="s">
        <v>316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ht="13.2" x14ac:dyDescent="0.25">
      <c r="A208" s="9" t="s">
        <v>89</v>
      </c>
      <c r="B208" s="9" t="s">
        <v>56</v>
      </c>
      <c r="C208" s="74" t="s">
        <v>315</v>
      </c>
      <c r="D208" s="74" t="s">
        <v>316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spans="1:24" ht="13.2" x14ac:dyDescent="0.25">
      <c r="A209" s="9" t="s">
        <v>89</v>
      </c>
      <c r="B209" s="9" t="s">
        <v>337</v>
      </c>
      <c r="C209" s="74" t="s">
        <v>416</v>
      </c>
      <c r="D209" s="74" t="s">
        <v>317</v>
      </c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spans="1:24" ht="13.2" x14ac:dyDescent="0.25">
      <c r="A210" s="9" t="s">
        <v>89</v>
      </c>
      <c r="B210" s="9" t="s">
        <v>339</v>
      </c>
      <c r="C210" s="74" t="s">
        <v>417</v>
      </c>
      <c r="D210" s="74" t="s">
        <v>314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ht="13.2" x14ac:dyDescent="0.25">
      <c r="A211" s="9" t="s">
        <v>89</v>
      </c>
      <c r="B211" s="9" t="s">
        <v>66</v>
      </c>
      <c r="C211" s="74" t="s">
        <v>418</v>
      </c>
      <c r="D211" s="74" t="s">
        <v>317</v>
      </c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spans="1:24" ht="13.2" x14ac:dyDescent="0.25">
      <c r="A212" s="9" t="s">
        <v>89</v>
      </c>
      <c r="B212" s="9" t="s">
        <v>68</v>
      </c>
      <c r="C212" s="91">
        <v>0.1</v>
      </c>
      <c r="D212" s="74" t="s">
        <v>314</v>
      </c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spans="1:24" ht="13.2" x14ac:dyDescent="0.25">
      <c r="A213" s="9" t="s">
        <v>89</v>
      </c>
      <c r="B213" s="9" t="s">
        <v>341</v>
      </c>
      <c r="C213" s="74" t="s">
        <v>315</v>
      </c>
      <c r="D213" s="74" t="s">
        <v>316</v>
      </c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ht="13.2" x14ac:dyDescent="0.25">
      <c r="A214" s="9" t="s">
        <v>89</v>
      </c>
      <c r="B214" s="9" t="s">
        <v>72</v>
      </c>
      <c r="C214" s="74" t="s">
        <v>315</v>
      </c>
      <c r="D214" s="74" t="s">
        <v>316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spans="1:24" ht="13.2" x14ac:dyDescent="0.25">
      <c r="A215" s="9" t="s">
        <v>89</v>
      </c>
      <c r="B215" s="9" t="s">
        <v>342</v>
      </c>
      <c r="C215" s="74" t="s">
        <v>419</v>
      </c>
      <c r="D215" s="74" t="s">
        <v>314</v>
      </c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ht="13.2" x14ac:dyDescent="0.25">
      <c r="A216" s="9" t="s">
        <v>89</v>
      </c>
      <c r="B216" s="9" t="s">
        <v>343</v>
      </c>
      <c r="C216" s="74" t="s">
        <v>315</v>
      </c>
      <c r="D216" s="74" t="s">
        <v>316</v>
      </c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ht="13.2" x14ac:dyDescent="0.25">
      <c r="A217" s="9" t="s">
        <v>89</v>
      </c>
      <c r="B217" s="9" t="s">
        <v>344</v>
      </c>
      <c r="C217" s="74" t="s">
        <v>315</v>
      </c>
      <c r="D217" s="74" t="s">
        <v>316</v>
      </c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spans="1:24" ht="13.2" x14ac:dyDescent="0.25">
      <c r="A218" s="9" t="s">
        <v>89</v>
      </c>
      <c r="B218" s="9" t="s">
        <v>345</v>
      </c>
      <c r="C218" s="74" t="s">
        <v>315</v>
      </c>
      <c r="D218" s="74" t="s">
        <v>316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ht="13.2" x14ac:dyDescent="0.25">
      <c r="A219" s="9" t="s">
        <v>89</v>
      </c>
      <c r="B219" s="9" t="s">
        <v>346</v>
      </c>
      <c r="C219" s="74" t="s">
        <v>315</v>
      </c>
      <c r="D219" s="74" t="s">
        <v>316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spans="1:24" ht="13.2" x14ac:dyDescent="0.25">
      <c r="A220" s="9" t="s">
        <v>89</v>
      </c>
      <c r="B220" s="9" t="s">
        <v>347</v>
      </c>
      <c r="C220" s="74" t="s">
        <v>315</v>
      </c>
      <c r="D220" s="74" t="s">
        <v>316</v>
      </c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spans="1:24" ht="13.2" x14ac:dyDescent="0.25">
      <c r="A221" s="9" t="s">
        <v>89</v>
      </c>
      <c r="B221" s="9" t="s">
        <v>348</v>
      </c>
      <c r="C221" s="74" t="s">
        <v>315</v>
      </c>
      <c r="D221" s="74" t="s">
        <v>316</v>
      </c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spans="1:24" ht="13.2" x14ac:dyDescent="0.25">
      <c r="A222" s="9" t="s">
        <v>89</v>
      </c>
      <c r="B222" s="9" t="s">
        <v>349</v>
      </c>
      <c r="C222" s="91">
        <v>0.4</v>
      </c>
      <c r="D222" s="74" t="s">
        <v>314</v>
      </c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spans="1:24" ht="13.2" x14ac:dyDescent="0.25">
      <c r="A223" s="9" t="s">
        <v>89</v>
      </c>
      <c r="B223" s="9" t="s">
        <v>150</v>
      </c>
      <c r="C223" s="74" t="s">
        <v>315</v>
      </c>
      <c r="D223" s="74" t="s">
        <v>316</v>
      </c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spans="1:24" ht="13.2" x14ac:dyDescent="0.25">
      <c r="A224" s="9" t="s">
        <v>89</v>
      </c>
      <c r="B224" s="9" t="s">
        <v>351</v>
      </c>
      <c r="C224" s="74" t="s">
        <v>420</v>
      </c>
      <c r="D224" s="74" t="s">
        <v>314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spans="1:24" ht="13.2" x14ac:dyDescent="0.25">
      <c r="A225" s="9" t="s">
        <v>89</v>
      </c>
      <c r="B225" s="9" t="s">
        <v>152</v>
      </c>
      <c r="C225" s="74" t="s">
        <v>315</v>
      </c>
      <c r="D225" s="74" t="s">
        <v>421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spans="1:24" ht="13.2" x14ac:dyDescent="0.25">
      <c r="A226" s="9" t="s">
        <v>89</v>
      </c>
      <c r="B226" s="9" t="s">
        <v>78</v>
      </c>
      <c r="C226" s="74">
        <v>2025</v>
      </c>
      <c r="D226" s="74" t="s">
        <v>314</v>
      </c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spans="1:24" ht="13.2" x14ac:dyDescent="0.25">
      <c r="A227" s="9" t="s">
        <v>89</v>
      </c>
      <c r="B227" s="9" t="s">
        <v>80</v>
      </c>
      <c r="C227" s="74">
        <v>2030</v>
      </c>
      <c r="D227" s="74" t="s">
        <v>314</v>
      </c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spans="1:24" ht="13.2" x14ac:dyDescent="0.25">
      <c r="A228" s="9" t="s">
        <v>89</v>
      </c>
      <c r="B228" s="9" t="s">
        <v>82</v>
      </c>
      <c r="C228" s="74">
        <v>2030</v>
      </c>
      <c r="D228" s="74" t="s">
        <v>314</v>
      </c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spans="1:24" ht="13.2" x14ac:dyDescent="0.25">
      <c r="A229" s="9" t="s">
        <v>90</v>
      </c>
      <c r="B229" s="9" t="s">
        <v>2</v>
      </c>
      <c r="C229" s="91">
        <v>0.11</v>
      </c>
      <c r="D229" s="74" t="s">
        <v>314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spans="1:24" ht="13.2" x14ac:dyDescent="0.25">
      <c r="A230" s="9" t="s">
        <v>90</v>
      </c>
      <c r="B230" s="9" t="s">
        <v>4</v>
      </c>
      <c r="C230" s="91">
        <v>0.2</v>
      </c>
      <c r="D230" s="74" t="s">
        <v>314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spans="1:24" ht="13.2" x14ac:dyDescent="0.25">
      <c r="A231" s="9" t="s">
        <v>90</v>
      </c>
      <c r="B231" s="9" t="s">
        <v>6</v>
      </c>
      <c r="C231" s="74" t="s">
        <v>422</v>
      </c>
      <c r="D231" s="74" t="s">
        <v>317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spans="1:24" ht="13.2" x14ac:dyDescent="0.25">
      <c r="A232" s="9" t="s">
        <v>90</v>
      </c>
      <c r="B232" s="9" t="s">
        <v>8</v>
      </c>
      <c r="C232" s="91">
        <v>0.9</v>
      </c>
      <c r="D232" s="74" t="s">
        <v>314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ht="13.2" x14ac:dyDescent="0.25">
      <c r="A233" s="9" t="s">
        <v>90</v>
      </c>
      <c r="B233" s="9" t="s">
        <v>10</v>
      </c>
      <c r="C233" s="91">
        <v>0.5</v>
      </c>
      <c r="D233" s="74" t="s">
        <v>314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ht="13.2" x14ac:dyDescent="0.25">
      <c r="A234" s="9" t="s">
        <v>90</v>
      </c>
      <c r="B234" s="9" t="s">
        <v>12</v>
      </c>
      <c r="C234" s="91">
        <v>0.4</v>
      </c>
      <c r="D234" s="74" t="s">
        <v>314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spans="1:24" ht="13.2" x14ac:dyDescent="0.25">
      <c r="A235" s="9" t="s">
        <v>90</v>
      </c>
      <c r="B235" s="9" t="s">
        <v>14</v>
      </c>
      <c r="C235" s="74" t="s">
        <v>423</v>
      </c>
      <c r="D235" s="74" t="s">
        <v>314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spans="1:24" ht="13.2" x14ac:dyDescent="0.25">
      <c r="A236" s="9" t="s">
        <v>90</v>
      </c>
      <c r="B236" s="9" t="s">
        <v>16</v>
      </c>
      <c r="C236" s="74" t="s">
        <v>424</v>
      </c>
      <c r="D236" s="74" t="s">
        <v>314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spans="1:24" ht="13.2" x14ac:dyDescent="0.25">
      <c r="A237" s="9" t="s">
        <v>90</v>
      </c>
      <c r="B237" s="9" t="s">
        <v>18</v>
      </c>
      <c r="C237" s="93" t="s">
        <v>425</v>
      </c>
      <c r="D237" s="74" t="s">
        <v>314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spans="1:24" ht="13.2" x14ac:dyDescent="0.25">
      <c r="A238" s="9" t="s">
        <v>90</v>
      </c>
      <c r="B238" s="9" t="s">
        <v>20</v>
      </c>
      <c r="C238" s="74" t="s">
        <v>426</v>
      </c>
      <c r="D238" s="74" t="s">
        <v>314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spans="1:24" ht="13.2" x14ac:dyDescent="0.25">
      <c r="A239" s="9" t="s">
        <v>90</v>
      </c>
      <c r="B239" s="9" t="s">
        <v>22</v>
      </c>
      <c r="C239" s="74" t="s">
        <v>382</v>
      </c>
      <c r="D239" s="74" t="s">
        <v>317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spans="1:24" ht="13.2" x14ac:dyDescent="0.25">
      <c r="A240" s="9" t="s">
        <v>90</v>
      </c>
      <c r="B240" s="9" t="s">
        <v>24</v>
      </c>
      <c r="C240" s="74" t="s">
        <v>427</v>
      </c>
      <c r="D240" s="74" t="s">
        <v>314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ht="13.2" x14ac:dyDescent="0.25">
      <c r="A241" s="9" t="s">
        <v>90</v>
      </c>
      <c r="B241" s="9" t="s">
        <v>26</v>
      </c>
      <c r="C241" s="74" t="s">
        <v>428</v>
      </c>
      <c r="D241" s="74" t="s">
        <v>314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ht="13.2" x14ac:dyDescent="0.25">
      <c r="A242" s="9" t="s">
        <v>90</v>
      </c>
      <c r="B242" s="9" t="s">
        <v>28</v>
      </c>
      <c r="C242" s="74" t="s">
        <v>315</v>
      </c>
      <c r="D242" s="74" t="s">
        <v>316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ht="13.2" x14ac:dyDescent="0.25">
      <c r="A243" s="9" t="s">
        <v>90</v>
      </c>
      <c r="B243" s="9" t="s">
        <v>30</v>
      </c>
      <c r="C243" s="74" t="s">
        <v>429</v>
      </c>
      <c r="D243" s="74" t="s">
        <v>317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spans="1:24" ht="13.2" x14ac:dyDescent="0.25">
      <c r="A244" s="9" t="s">
        <v>90</v>
      </c>
      <c r="B244" s="9" t="s">
        <v>32</v>
      </c>
      <c r="C244" s="74" t="s">
        <v>315</v>
      </c>
      <c r="D244" s="74" t="s">
        <v>316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spans="1:24" ht="13.2" x14ac:dyDescent="0.25">
      <c r="A245" s="9" t="s">
        <v>90</v>
      </c>
      <c r="B245" s="9" t="s">
        <v>34</v>
      </c>
      <c r="C245" s="74" t="s">
        <v>430</v>
      </c>
      <c r="D245" s="74" t="s">
        <v>317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spans="1:24" ht="13.2" x14ac:dyDescent="0.25">
      <c r="A246" s="9" t="s">
        <v>90</v>
      </c>
      <c r="B246" s="9" t="s">
        <v>36</v>
      </c>
      <c r="C246" s="74" t="s">
        <v>315</v>
      </c>
      <c r="D246" s="74" t="s">
        <v>316</v>
      </c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spans="1:24" ht="13.2" x14ac:dyDescent="0.25">
      <c r="A247" s="9" t="s">
        <v>90</v>
      </c>
      <c r="B247" s="9" t="s">
        <v>38</v>
      </c>
      <c r="C247" s="74" t="s">
        <v>315</v>
      </c>
      <c r="D247" s="74" t="s">
        <v>316</v>
      </c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spans="1:24" ht="13.2" x14ac:dyDescent="0.25">
      <c r="A248" s="9" t="s">
        <v>90</v>
      </c>
      <c r="B248" s="9" t="s">
        <v>40</v>
      </c>
      <c r="C248" s="74" t="s">
        <v>431</v>
      </c>
      <c r="D248" s="74" t="s">
        <v>314</v>
      </c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spans="1:24" ht="13.2" x14ac:dyDescent="0.25">
      <c r="A249" s="9" t="s">
        <v>90</v>
      </c>
      <c r="B249" s="9" t="s">
        <v>42</v>
      </c>
      <c r="C249" s="74" t="s">
        <v>432</v>
      </c>
      <c r="D249" s="74" t="s">
        <v>314</v>
      </c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spans="1:24" ht="13.2" x14ac:dyDescent="0.25">
      <c r="A250" s="9" t="s">
        <v>90</v>
      </c>
      <c r="B250" s="9" t="s">
        <v>44</v>
      </c>
      <c r="C250" s="74" t="s">
        <v>433</v>
      </c>
      <c r="D250" s="74" t="s">
        <v>314</v>
      </c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spans="1:24" ht="13.2" x14ac:dyDescent="0.25">
      <c r="A251" s="9" t="s">
        <v>90</v>
      </c>
      <c r="B251" s="9" t="s">
        <v>46</v>
      </c>
      <c r="C251" s="74" t="s">
        <v>434</v>
      </c>
      <c r="D251" s="74" t="s">
        <v>314</v>
      </c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spans="1:24" ht="13.2" x14ac:dyDescent="0.25">
      <c r="A252" s="9" t="s">
        <v>90</v>
      </c>
      <c r="B252" s="9" t="s">
        <v>48</v>
      </c>
      <c r="C252" s="74" t="s">
        <v>435</v>
      </c>
      <c r="D252" s="74" t="s">
        <v>314</v>
      </c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spans="1:24" ht="13.2" x14ac:dyDescent="0.25">
      <c r="A253" s="9" t="s">
        <v>90</v>
      </c>
      <c r="B253" s="9" t="s">
        <v>124</v>
      </c>
      <c r="C253" s="74" t="s">
        <v>436</v>
      </c>
      <c r="D253" s="74" t="s">
        <v>317</v>
      </c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spans="1:24" ht="13.2" x14ac:dyDescent="0.25">
      <c r="A254" s="9" t="s">
        <v>90</v>
      </c>
      <c r="B254" s="9" t="s">
        <v>126</v>
      </c>
      <c r="C254" s="74" t="s">
        <v>437</v>
      </c>
      <c r="D254" s="74" t="s">
        <v>317</v>
      </c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spans="1:24" ht="13.2" x14ac:dyDescent="0.25">
      <c r="A255" s="9" t="s">
        <v>90</v>
      </c>
      <c r="B255" s="9" t="s">
        <v>130</v>
      </c>
      <c r="C255" s="74" t="s">
        <v>315</v>
      </c>
      <c r="D255" s="74" t="s">
        <v>316</v>
      </c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spans="1:24" ht="13.2" x14ac:dyDescent="0.25">
      <c r="A256" s="9" t="s">
        <v>90</v>
      </c>
      <c r="B256" s="9" t="s">
        <v>131</v>
      </c>
      <c r="C256" s="74" t="s">
        <v>315</v>
      </c>
      <c r="D256" s="74" t="s">
        <v>316</v>
      </c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spans="1:24" ht="13.2" x14ac:dyDescent="0.25">
      <c r="A257" s="9" t="s">
        <v>90</v>
      </c>
      <c r="B257" s="9" t="s">
        <v>132</v>
      </c>
      <c r="C257" s="74" t="s">
        <v>438</v>
      </c>
      <c r="D257" s="74" t="s">
        <v>314</v>
      </c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ht="13.2" x14ac:dyDescent="0.25">
      <c r="A258" s="9" t="s">
        <v>90</v>
      </c>
      <c r="B258" s="9" t="s">
        <v>50</v>
      </c>
      <c r="C258" s="74" t="s">
        <v>439</v>
      </c>
      <c r="D258" s="74" t="s">
        <v>314</v>
      </c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ht="13.2" x14ac:dyDescent="0.25">
      <c r="A259" s="9" t="s">
        <v>90</v>
      </c>
      <c r="B259" s="9" t="s">
        <v>52</v>
      </c>
      <c r="C259" s="74" t="s">
        <v>440</v>
      </c>
      <c r="D259" s="74" t="s">
        <v>314</v>
      </c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spans="1:24" ht="13.2" x14ac:dyDescent="0.25">
      <c r="A260" s="9" t="s">
        <v>90</v>
      </c>
      <c r="B260" s="9" t="s">
        <v>54</v>
      </c>
      <c r="C260" s="74" t="s">
        <v>441</v>
      </c>
      <c r="D260" s="74" t="s">
        <v>314</v>
      </c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spans="1:24" ht="13.2" x14ac:dyDescent="0.25">
      <c r="A261" s="9" t="s">
        <v>90</v>
      </c>
      <c r="B261" s="9" t="s">
        <v>134</v>
      </c>
      <c r="C261" s="74" t="s">
        <v>442</v>
      </c>
      <c r="D261" s="74" t="s">
        <v>317</v>
      </c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spans="1:24" ht="13.2" x14ac:dyDescent="0.25">
      <c r="A262" s="9" t="s">
        <v>90</v>
      </c>
      <c r="B262" s="9" t="s">
        <v>135</v>
      </c>
      <c r="C262" s="74" t="s">
        <v>443</v>
      </c>
      <c r="D262" s="74" t="s">
        <v>317</v>
      </c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spans="1:24" ht="13.2" x14ac:dyDescent="0.25">
      <c r="A263" s="9" t="s">
        <v>90</v>
      </c>
      <c r="B263" s="9" t="s">
        <v>136</v>
      </c>
      <c r="C263" s="74" t="s">
        <v>443</v>
      </c>
      <c r="D263" s="74" t="s">
        <v>444</v>
      </c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spans="1:24" ht="13.2" x14ac:dyDescent="0.25">
      <c r="A264" s="9" t="s">
        <v>90</v>
      </c>
      <c r="B264" s="9" t="s">
        <v>56</v>
      </c>
      <c r="C264" s="74" t="s">
        <v>445</v>
      </c>
      <c r="D264" s="74" t="s">
        <v>314</v>
      </c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spans="1:24" ht="13.2" x14ac:dyDescent="0.25">
      <c r="A265" s="9" t="s">
        <v>90</v>
      </c>
      <c r="B265" s="9" t="s">
        <v>337</v>
      </c>
      <c r="C265" s="74" t="s">
        <v>446</v>
      </c>
      <c r="D265" s="74" t="s">
        <v>314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spans="1:24" ht="13.2" x14ac:dyDescent="0.25">
      <c r="A266" s="9" t="s">
        <v>90</v>
      </c>
      <c r="B266" s="9" t="s">
        <v>339</v>
      </c>
      <c r="C266" s="74" t="s">
        <v>447</v>
      </c>
      <c r="D266" s="74" t="s">
        <v>314</v>
      </c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spans="1:24" ht="13.2" x14ac:dyDescent="0.25">
      <c r="A267" s="9" t="s">
        <v>90</v>
      </c>
      <c r="B267" s="9" t="s">
        <v>66</v>
      </c>
      <c r="C267" s="74" t="s">
        <v>448</v>
      </c>
      <c r="D267" s="74" t="s">
        <v>317</v>
      </c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spans="1:24" ht="13.2" x14ac:dyDescent="0.25">
      <c r="A268" s="9" t="s">
        <v>90</v>
      </c>
      <c r="B268" s="9" t="s">
        <v>68</v>
      </c>
      <c r="C268" s="91">
        <v>0.3</v>
      </c>
      <c r="D268" s="74" t="s">
        <v>314</v>
      </c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spans="1:24" ht="13.2" x14ac:dyDescent="0.25">
      <c r="A269" s="9" t="s">
        <v>90</v>
      </c>
      <c r="B269" s="9" t="s">
        <v>341</v>
      </c>
      <c r="C269" s="74" t="s">
        <v>449</v>
      </c>
      <c r="D269" s="74" t="s">
        <v>316</v>
      </c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spans="1:24" ht="13.2" x14ac:dyDescent="0.25">
      <c r="A270" s="9" t="s">
        <v>90</v>
      </c>
      <c r="B270" s="9" t="s">
        <v>72</v>
      </c>
      <c r="C270" s="74" t="s">
        <v>315</v>
      </c>
      <c r="D270" s="74" t="s">
        <v>316</v>
      </c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spans="1:24" ht="13.2" x14ac:dyDescent="0.25">
      <c r="A271" s="9" t="s">
        <v>90</v>
      </c>
      <c r="B271" s="9" t="s">
        <v>342</v>
      </c>
      <c r="C271" s="74" t="s">
        <v>315</v>
      </c>
      <c r="D271" s="74" t="s">
        <v>316</v>
      </c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spans="1:24" ht="13.2" x14ac:dyDescent="0.25">
      <c r="A272" s="9" t="s">
        <v>90</v>
      </c>
      <c r="B272" s="9" t="s">
        <v>343</v>
      </c>
      <c r="C272" s="74" t="s">
        <v>315</v>
      </c>
      <c r="D272" s="74" t="s">
        <v>316</v>
      </c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spans="1:24" ht="13.2" x14ac:dyDescent="0.25">
      <c r="A273" s="9" t="s">
        <v>90</v>
      </c>
      <c r="B273" s="9" t="s">
        <v>344</v>
      </c>
      <c r="C273" s="74" t="s">
        <v>315</v>
      </c>
      <c r="D273" s="74" t="s">
        <v>316</v>
      </c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spans="1:24" ht="13.2" x14ac:dyDescent="0.25">
      <c r="A274" s="9" t="s">
        <v>90</v>
      </c>
      <c r="B274" s="9" t="s">
        <v>345</v>
      </c>
      <c r="C274" s="74" t="s">
        <v>315</v>
      </c>
      <c r="D274" s="74" t="s">
        <v>316</v>
      </c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spans="1:24" ht="13.2" x14ac:dyDescent="0.25">
      <c r="A275" s="9" t="s">
        <v>90</v>
      </c>
      <c r="B275" s="9" t="s">
        <v>346</v>
      </c>
      <c r="C275" s="74" t="s">
        <v>315</v>
      </c>
      <c r="D275" s="74" t="s">
        <v>316</v>
      </c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spans="1:24" ht="13.2" x14ac:dyDescent="0.25">
      <c r="A276" s="9" t="s">
        <v>90</v>
      </c>
      <c r="B276" s="9" t="s">
        <v>347</v>
      </c>
      <c r="C276" s="74" t="s">
        <v>315</v>
      </c>
      <c r="D276" s="74" t="s">
        <v>316</v>
      </c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spans="1:24" ht="13.2" x14ac:dyDescent="0.25">
      <c r="A277" s="9" t="s">
        <v>90</v>
      </c>
      <c r="B277" s="9" t="s">
        <v>348</v>
      </c>
      <c r="C277" s="74" t="s">
        <v>315</v>
      </c>
      <c r="D277" s="74" t="s">
        <v>316</v>
      </c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spans="1:24" ht="13.2" x14ac:dyDescent="0.25">
      <c r="A278" s="9" t="s">
        <v>90</v>
      </c>
      <c r="B278" s="9" t="s">
        <v>349</v>
      </c>
      <c r="C278" s="91">
        <v>0.46</v>
      </c>
      <c r="D278" s="74" t="s">
        <v>314</v>
      </c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spans="1:24" ht="13.2" x14ac:dyDescent="0.25">
      <c r="A279" s="9" t="s">
        <v>90</v>
      </c>
      <c r="B279" s="9" t="s">
        <v>150</v>
      </c>
      <c r="C279" s="74" t="s">
        <v>315</v>
      </c>
      <c r="D279" s="74" t="s">
        <v>316</v>
      </c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spans="1:24" ht="13.2" x14ac:dyDescent="0.25">
      <c r="A280" s="9" t="s">
        <v>90</v>
      </c>
      <c r="B280" s="9" t="s">
        <v>351</v>
      </c>
      <c r="C280" s="74" t="s">
        <v>450</v>
      </c>
      <c r="D280" s="74" t="s">
        <v>317</v>
      </c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ht="13.2" x14ac:dyDescent="0.25">
      <c r="A281" s="9" t="s">
        <v>90</v>
      </c>
      <c r="B281" s="9" t="s">
        <v>152</v>
      </c>
      <c r="C281" s="74" t="s">
        <v>451</v>
      </c>
      <c r="D281" s="74" t="s">
        <v>314</v>
      </c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ht="13.2" x14ac:dyDescent="0.25">
      <c r="A282" s="9" t="s">
        <v>90</v>
      </c>
      <c r="B282" s="9" t="s">
        <v>78</v>
      </c>
      <c r="C282" s="74">
        <v>2025</v>
      </c>
      <c r="D282" s="74" t="s">
        <v>314</v>
      </c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spans="1:24" ht="13.2" x14ac:dyDescent="0.25">
      <c r="A283" s="9" t="s">
        <v>90</v>
      </c>
      <c r="B283" s="9" t="s">
        <v>80</v>
      </c>
      <c r="C283" s="74">
        <v>2030</v>
      </c>
      <c r="D283" s="74" t="s">
        <v>314</v>
      </c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spans="1:24" ht="13.2" x14ac:dyDescent="0.25">
      <c r="A284" s="9" t="s">
        <v>90</v>
      </c>
      <c r="B284" s="9" t="s">
        <v>82</v>
      </c>
      <c r="C284" s="74">
        <v>2030</v>
      </c>
      <c r="D284" s="74" t="s">
        <v>314</v>
      </c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spans="1:24" ht="13.2" x14ac:dyDescent="0.25">
      <c r="A285" s="9" t="s">
        <v>91</v>
      </c>
      <c r="B285" s="9" t="s">
        <v>2</v>
      </c>
      <c r="C285" s="74" t="s">
        <v>452</v>
      </c>
      <c r="D285" s="74" t="s">
        <v>317</v>
      </c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spans="1:24" ht="13.2" x14ac:dyDescent="0.25">
      <c r="A286" s="9" t="s">
        <v>91</v>
      </c>
      <c r="B286" s="9" t="s">
        <v>4</v>
      </c>
      <c r="C286" s="74" t="s">
        <v>453</v>
      </c>
      <c r="D286" s="74" t="s">
        <v>317</v>
      </c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spans="1:24" ht="13.2" x14ac:dyDescent="0.25">
      <c r="A287" s="9" t="s">
        <v>91</v>
      </c>
      <c r="B287" s="9" t="s">
        <v>6</v>
      </c>
      <c r="C287" s="74" t="s">
        <v>454</v>
      </c>
      <c r="D287" s="74" t="s">
        <v>317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spans="1:24" ht="13.2" x14ac:dyDescent="0.25">
      <c r="A288" s="9" t="s">
        <v>91</v>
      </c>
      <c r="B288" s="9" t="s">
        <v>8</v>
      </c>
      <c r="C288" s="91">
        <v>1</v>
      </c>
      <c r="D288" s="74" t="s">
        <v>314</v>
      </c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spans="1:24" ht="13.2" x14ac:dyDescent="0.25">
      <c r="A289" s="9" t="s">
        <v>91</v>
      </c>
      <c r="B289" s="9" t="s">
        <v>10</v>
      </c>
      <c r="C289" s="74" t="s">
        <v>315</v>
      </c>
      <c r="D289" s="74" t="s">
        <v>316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spans="1:24" ht="13.2" x14ac:dyDescent="0.25">
      <c r="A290" s="9" t="s">
        <v>91</v>
      </c>
      <c r="B290" s="9" t="s">
        <v>12</v>
      </c>
      <c r="C290" s="74" t="s">
        <v>315</v>
      </c>
      <c r="D290" s="74" t="s">
        <v>316</v>
      </c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spans="1:24" ht="13.2" x14ac:dyDescent="0.25">
      <c r="A291" s="9" t="s">
        <v>91</v>
      </c>
      <c r="B291" s="9" t="s">
        <v>14</v>
      </c>
      <c r="C291" s="74" t="s">
        <v>455</v>
      </c>
      <c r="D291" s="74" t="s">
        <v>317</v>
      </c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spans="1:24" ht="13.2" x14ac:dyDescent="0.25">
      <c r="A292" s="9" t="s">
        <v>91</v>
      </c>
      <c r="B292" s="9" t="s">
        <v>16</v>
      </c>
      <c r="C292" s="74" t="s">
        <v>456</v>
      </c>
      <c r="D292" s="74" t="s">
        <v>314</v>
      </c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spans="1:24" ht="13.2" x14ac:dyDescent="0.25">
      <c r="A293" s="9" t="s">
        <v>91</v>
      </c>
      <c r="B293" s="9" t="s">
        <v>18</v>
      </c>
      <c r="C293" s="74" t="s">
        <v>315</v>
      </c>
      <c r="D293" s="74" t="s">
        <v>316</v>
      </c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spans="1:24" ht="13.2" x14ac:dyDescent="0.25">
      <c r="A294" s="9" t="s">
        <v>91</v>
      </c>
      <c r="B294" s="9" t="s">
        <v>20</v>
      </c>
      <c r="C294" s="74" t="s">
        <v>315</v>
      </c>
      <c r="D294" s="74" t="s">
        <v>316</v>
      </c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spans="1:24" ht="13.2" x14ac:dyDescent="0.25">
      <c r="A295" s="9" t="s">
        <v>91</v>
      </c>
      <c r="B295" s="9" t="s">
        <v>22</v>
      </c>
      <c r="C295" s="74" t="s">
        <v>457</v>
      </c>
      <c r="D295" s="74" t="s">
        <v>314</v>
      </c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spans="1:24" ht="13.2" x14ac:dyDescent="0.25">
      <c r="A296" s="9" t="s">
        <v>91</v>
      </c>
      <c r="B296" s="9" t="s">
        <v>24</v>
      </c>
      <c r="C296" s="74" t="s">
        <v>315</v>
      </c>
      <c r="D296" s="74" t="s">
        <v>316</v>
      </c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spans="1:24" ht="13.2" x14ac:dyDescent="0.25">
      <c r="A297" s="9" t="s">
        <v>91</v>
      </c>
      <c r="B297" s="9" t="s">
        <v>26</v>
      </c>
      <c r="C297" s="74" t="s">
        <v>458</v>
      </c>
      <c r="D297" s="74" t="s">
        <v>317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spans="1:24" ht="13.2" x14ac:dyDescent="0.25">
      <c r="A298" s="9" t="s">
        <v>91</v>
      </c>
      <c r="B298" s="9" t="s">
        <v>28</v>
      </c>
      <c r="C298" s="74" t="s">
        <v>315</v>
      </c>
      <c r="D298" s="74" t="s">
        <v>316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spans="1:24" ht="13.2" x14ac:dyDescent="0.25">
      <c r="A299" s="9" t="s">
        <v>91</v>
      </c>
      <c r="B299" s="9" t="s">
        <v>30</v>
      </c>
      <c r="C299" s="74" t="s">
        <v>1235</v>
      </c>
      <c r="D299" s="74" t="s">
        <v>317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spans="1:24" ht="13.2" x14ac:dyDescent="0.25">
      <c r="A300" s="9" t="s">
        <v>91</v>
      </c>
      <c r="B300" s="9" t="s">
        <v>32</v>
      </c>
      <c r="C300" s="74" t="s">
        <v>315</v>
      </c>
      <c r="D300" s="74" t="s">
        <v>316</v>
      </c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spans="1:24" ht="13.2" x14ac:dyDescent="0.25">
      <c r="A301" s="9" t="s">
        <v>91</v>
      </c>
      <c r="B301" s="9" t="s">
        <v>34</v>
      </c>
      <c r="C301" s="74" t="s">
        <v>459</v>
      </c>
      <c r="D301" s="74" t="s">
        <v>317</v>
      </c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spans="1:24" ht="13.2" x14ac:dyDescent="0.25">
      <c r="A302" s="9" t="s">
        <v>91</v>
      </c>
      <c r="B302" s="9" t="s">
        <v>36</v>
      </c>
      <c r="C302" s="74" t="s">
        <v>460</v>
      </c>
      <c r="D302" s="74" t="s">
        <v>314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spans="1:24" ht="13.2" x14ac:dyDescent="0.25">
      <c r="A303" s="9" t="s">
        <v>91</v>
      </c>
      <c r="B303" s="9" t="s">
        <v>38</v>
      </c>
      <c r="C303" s="74" t="s">
        <v>315</v>
      </c>
      <c r="D303" s="74" t="s">
        <v>316</v>
      </c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spans="1:24" ht="13.2" x14ac:dyDescent="0.25">
      <c r="A304" s="9" t="s">
        <v>91</v>
      </c>
      <c r="B304" s="9" t="s">
        <v>40</v>
      </c>
      <c r="C304" s="74" t="s">
        <v>315</v>
      </c>
      <c r="D304" s="74" t="s">
        <v>316</v>
      </c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spans="1:24" ht="13.2" x14ac:dyDescent="0.25">
      <c r="A305" s="9" t="s">
        <v>91</v>
      </c>
      <c r="B305" s="9" t="s">
        <v>42</v>
      </c>
      <c r="C305" s="74" t="s">
        <v>315</v>
      </c>
      <c r="D305" s="74" t="s">
        <v>316</v>
      </c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ht="13.2" x14ac:dyDescent="0.25">
      <c r="A306" s="9" t="s">
        <v>91</v>
      </c>
      <c r="B306" s="9" t="s">
        <v>44</v>
      </c>
      <c r="C306" s="74" t="s">
        <v>315</v>
      </c>
      <c r="D306" s="74" t="s">
        <v>316</v>
      </c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ht="13.2" x14ac:dyDescent="0.25">
      <c r="A307" s="9" t="s">
        <v>91</v>
      </c>
      <c r="B307" s="9" t="s">
        <v>46</v>
      </c>
      <c r="C307" s="74" t="s">
        <v>461</v>
      </c>
      <c r="D307" s="74" t="s">
        <v>314</v>
      </c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ht="13.2" x14ac:dyDescent="0.25">
      <c r="A308" s="9" t="s">
        <v>91</v>
      </c>
      <c r="B308" s="9" t="s">
        <v>48</v>
      </c>
      <c r="C308" s="74" t="s">
        <v>462</v>
      </c>
      <c r="D308" s="74" t="s">
        <v>314</v>
      </c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spans="1:24" ht="13.2" x14ac:dyDescent="0.25">
      <c r="A309" s="9" t="s">
        <v>91</v>
      </c>
      <c r="B309" s="9" t="s">
        <v>124</v>
      </c>
      <c r="C309" s="74" t="s">
        <v>463</v>
      </c>
      <c r="D309" s="74" t="s">
        <v>314</v>
      </c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spans="1:24" ht="13.2" x14ac:dyDescent="0.25">
      <c r="A310" s="9" t="s">
        <v>91</v>
      </c>
      <c r="B310" s="9" t="s">
        <v>126</v>
      </c>
      <c r="C310" s="74" t="s">
        <v>464</v>
      </c>
      <c r="D310" s="74" t="s">
        <v>317</v>
      </c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spans="1:24" ht="13.2" x14ac:dyDescent="0.25">
      <c r="A311" s="9" t="s">
        <v>91</v>
      </c>
      <c r="B311" s="9" t="s">
        <v>130</v>
      </c>
      <c r="C311" s="74" t="s">
        <v>315</v>
      </c>
      <c r="D311" s="74" t="s">
        <v>316</v>
      </c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spans="1:24" ht="13.2" x14ac:dyDescent="0.25">
      <c r="A312" s="9" t="s">
        <v>91</v>
      </c>
      <c r="B312" s="9" t="s">
        <v>131</v>
      </c>
      <c r="C312" s="74" t="s">
        <v>315</v>
      </c>
      <c r="D312" s="74" t="s">
        <v>316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spans="1:24" ht="13.2" x14ac:dyDescent="0.25">
      <c r="A313" s="9" t="s">
        <v>91</v>
      </c>
      <c r="B313" s="9" t="s">
        <v>132</v>
      </c>
      <c r="C313" s="74" t="s">
        <v>315</v>
      </c>
      <c r="D313" s="74" t="s">
        <v>316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spans="1:24" ht="13.2" x14ac:dyDescent="0.25">
      <c r="A314" s="9" t="s">
        <v>91</v>
      </c>
      <c r="B314" s="9" t="s">
        <v>50</v>
      </c>
      <c r="C314" s="74" t="s">
        <v>465</v>
      </c>
      <c r="D314" s="74" t="s">
        <v>314</v>
      </c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ht="13.2" x14ac:dyDescent="0.25">
      <c r="A315" s="9" t="s">
        <v>91</v>
      </c>
      <c r="B315" s="9" t="s">
        <v>52</v>
      </c>
      <c r="C315" s="74" t="s">
        <v>466</v>
      </c>
      <c r="D315" s="74" t="s">
        <v>314</v>
      </c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spans="1:24" ht="13.2" x14ac:dyDescent="0.25">
      <c r="A316" s="9" t="s">
        <v>91</v>
      </c>
      <c r="B316" s="9" t="s">
        <v>54</v>
      </c>
      <c r="C316" s="74" t="s">
        <v>467</v>
      </c>
      <c r="D316" s="74" t="s">
        <v>314</v>
      </c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spans="1:24" ht="13.2" x14ac:dyDescent="0.25">
      <c r="A317" s="9" t="s">
        <v>91</v>
      </c>
      <c r="B317" s="9" t="s">
        <v>134</v>
      </c>
      <c r="C317" s="74" t="s">
        <v>315</v>
      </c>
      <c r="D317" s="74" t="s">
        <v>316</v>
      </c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spans="1:24" ht="13.2" x14ac:dyDescent="0.25">
      <c r="A318" s="9" t="s">
        <v>91</v>
      </c>
      <c r="B318" s="9" t="s">
        <v>135</v>
      </c>
      <c r="C318" s="74" t="s">
        <v>315</v>
      </c>
      <c r="D318" s="74" t="s">
        <v>316</v>
      </c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spans="1:24" ht="13.2" x14ac:dyDescent="0.25">
      <c r="A319" s="9" t="s">
        <v>91</v>
      </c>
      <c r="B319" s="9" t="s">
        <v>136</v>
      </c>
      <c r="C319" s="74" t="s">
        <v>468</v>
      </c>
      <c r="D319" s="74" t="s">
        <v>317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spans="1:24" ht="13.2" x14ac:dyDescent="0.25">
      <c r="A320" s="9" t="s">
        <v>91</v>
      </c>
      <c r="B320" s="9" t="s">
        <v>56</v>
      </c>
      <c r="C320" s="74" t="s">
        <v>469</v>
      </c>
      <c r="D320" s="74" t="s">
        <v>314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spans="1:24" ht="13.2" x14ac:dyDescent="0.25">
      <c r="A321" s="9" t="s">
        <v>91</v>
      </c>
      <c r="B321" s="9" t="s">
        <v>337</v>
      </c>
      <c r="C321" s="90">
        <v>0.56599999999999995</v>
      </c>
      <c r="D321" s="74" t="s">
        <v>314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ht="13.2" x14ac:dyDescent="0.25">
      <c r="A322" s="9" t="s">
        <v>91</v>
      </c>
      <c r="B322" s="9" t="s">
        <v>470</v>
      </c>
      <c r="C322" s="74" t="s">
        <v>471</v>
      </c>
      <c r="D322" s="74" t="s">
        <v>314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ht="13.2" x14ac:dyDescent="0.25">
      <c r="A323" s="9" t="s">
        <v>91</v>
      </c>
      <c r="B323" s="9" t="s">
        <v>472</v>
      </c>
      <c r="C323" s="74" t="s">
        <v>473</v>
      </c>
      <c r="D323" s="74" t="s">
        <v>314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spans="1:24" ht="13.2" x14ac:dyDescent="0.25">
      <c r="A324" s="9" t="s">
        <v>91</v>
      </c>
      <c r="B324" s="9" t="s">
        <v>66</v>
      </c>
      <c r="C324" s="91">
        <v>0.09</v>
      </c>
      <c r="D324" s="74" t="s">
        <v>314</v>
      </c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spans="1:24" ht="13.2" x14ac:dyDescent="0.25">
      <c r="A325" s="9" t="s">
        <v>91</v>
      </c>
      <c r="B325" s="9" t="s">
        <v>68</v>
      </c>
      <c r="C325" s="91">
        <v>0.45</v>
      </c>
      <c r="D325" s="74" t="s">
        <v>314</v>
      </c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spans="1:24" ht="13.2" x14ac:dyDescent="0.25">
      <c r="A326" s="9" t="s">
        <v>91</v>
      </c>
      <c r="B326" s="9" t="s">
        <v>341</v>
      </c>
      <c r="C326" s="74" t="s">
        <v>315</v>
      </c>
      <c r="D326" s="74" t="s">
        <v>316</v>
      </c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spans="1:24" ht="13.2" x14ac:dyDescent="0.25">
      <c r="A327" s="9" t="s">
        <v>91</v>
      </c>
      <c r="B327" s="9" t="s">
        <v>72</v>
      </c>
      <c r="C327" s="74" t="s">
        <v>315</v>
      </c>
      <c r="D327" s="74" t="s">
        <v>316</v>
      </c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spans="1:24" ht="13.2" x14ac:dyDescent="0.25">
      <c r="A328" s="9" t="s">
        <v>91</v>
      </c>
      <c r="B328" s="9" t="s">
        <v>342</v>
      </c>
      <c r="C328" s="90">
        <v>5.0000000000000001E-3</v>
      </c>
      <c r="D328" s="74" t="s">
        <v>314</v>
      </c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spans="1:24" ht="13.2" x14ac:dyDescent="0.25">
      <c r="A329" s="9" t="s">
        <v>91</v>
      </c>
      <c r="B329" s="9" t="s">
        <v>343</v>
      </c>
      <c r="C329" s="74" t="s">
        <v>315</v>
      </c>
      <c r="D329" s="74" t="s">
        <v>316</v>
      </c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spans="1:24" ht="13.2" x14ac:dyDescent="0.25">
      <c r="A330" s="9" t="s">
        <v>91</v>
      </c>
      <c r="B330" s="9" t="s">
        <v>344</v>
      </c>
      <c r="C330" s="74" t="s">
        <v>315</v>
      </c>
      <c r="D330" s="74" t="s">
        <v>316</v>
      </c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spans="1:24" ht="13.2" x14ac:dyDescent="0.25">
      <c r="A331" s="9" t="s">
        <v>91</v>
      </c>
      <c r="B331" s="9" t="s">
        <v>345</v>
      </c>
      <c r="C331" s="74" t="s">
        <v>315</v>
      </c>
      <c r="D331" s="74" t="s">
        <v>316</v>
      </c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spans="1:24" ht="13.2" x14ac:dyDescent="0.25">
      <c r="A332" s="9" t="s">
        <v>91</v>
      </c>
      <c r="B332" s="9" t="s">
        <v>346</v>
      </c>
      <c r="C332" s="74" t="s">
        <v>315</v>
      </c>
      <c r="D332" s="74" t="s">
        <v>316</v>
      </c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ht="13.2" x14ac:dyDescent="0.25">
      <c r="A333" s="9" t="s">
        <v>91</v>
      </c>
      <c r="B333" s="9" t="s">
        <v>347</v>
      </c>
      <c r="C333" s="74" t="s">
        <v>315</v>
      </c>
      <c r="D333" s="74" t="s">
        <v>316</v>
      </c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ht="13.2" x14ac:dyDescent="0.25">
      <c r="A334" s="9" t="s">
        <v>91</v>
      </c>
      <c r="B334" s="9" t="s">
        <v>348</v>
      </c>
      <c r="C334" s="74" t="s">
        <v>315</v>
      </c>
      <c r="D334" s="74" t="s">
        <v>316</v>
      </c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spans="1:24" ht="13.2" x14ac:dyDescent="0.25">
      <c r="A335" s="9" t="s">
        <v>91</v>
      </c>
      <c r="B335" s="9" t="s">
        <v>349</v>
      </c>
      <c r="C335" s="91">
        <v>0.3</v>
      </c>
      <c r="D335" s="74" t="s">
        <v>314</v>
      </c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spans="1:24" ht="13.2" x14ac:dyDescent="0.25">
      <c r="A336" s="9" t="s">
        <v>91</v>
      </c>
      <c r="B336" s="9" t="s">
        <v>150</v>
      </c>
      <c r="C336" s="74" t="s">
        <v>315</v>
      </c>
      <c r="D336" s="74" t="s">
        <v>316</v>
      </c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spans="1:24" ht="13.2" x14ac:dyDescent="0.25">
      <c r="A337" s="9" t="s">
        <v>91</v>
      </c>
      <c r="B337" s="9" t="s">
        <v>351</v>
      </c>
      <c r="C337" s="74" t="s">
        <v>474</v>
      </c>
      <c r="D337" s="74" t="s">
        <v>317</v>
      </c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spans="1:24" ht="13.2" x14ac:dyDescent="0.25">
      <c r="A338" s="9" t="s">
        <v>91</v>
      </c>
      <c r="B338" s="9" t="s">
        <v>152</v>
      </c>
      <c r="C338" s="74" t="s">
        <v>315</v>
      </c>
      <c r="D338" s="74" t="s">
        <v>316</v>
      </c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spans="1:24" ht="13.2" x14ac:dyDescent="0.25">
      <c r="A339" s="9" t="s">
        <v>91</v>
      </c>
      <c r="B339" s="9" t="s">
        <v>78</v>
      </c>
      <c r="C339" s="74">
        <v>2025</v>
      </c>
      <c r="D339" s="74" t="s">
        <v>314</v>
      </c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spans="1:24" ht="13.2" x14ac:dyDescent="0.25">
      <c r="A340" s="9" t="s">
        <v>91</v>
      </c>
      <c r="B340" s="9" t="s">
        <v>80</v>
      </c>
      <c r="C340" s="74">
        <v>2030</v>
      </c>
      <c r="D340" s="74" t="s">
        <v>314</v>
      </c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spans="1:24" ht="13.2" x14ac:dyDescent="0.25">
      <c r="A341" s="9" t="s">
        <v>91</v>
      </c>
      <c r="B341" s="9" t="s">
        <v>82</v>
      </c>
      <c r="C341" s="74">
        <v>2030</v>
      </c>
      <c r="D341" s="74" t="s">
        <v>314</v>
      </c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spans="1:24" ht="13.2" x14ac:dyDescent="0.25">
      <c r="A342" s="9" t="s">
        <v>475</v>
      </c>
      <c r="B342" s="9" t="s">
        <v>2</v>
      </c>
      <c r="C342" s="74" t="s">
        <v>476</v>
      </c>
      <c r="D342" s="74" t="s">
        <v>314</v>
      </c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spans="1:24" ht="13.2" x14ac:dyDescent="0.25">
      <c r="A343" s="9" t="s">
        <v>475</v>
      </c>
      <c r="B343" s="9" t="s">
        <v>4</v>
      </c>
      <c r="C343" s="74" t="s">
        <v>315</v>
      </c>
      <c r="D343" s="74" t="s">
        <v>316</v>
      </c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ht="13.2" x14ac:dyDescent="0.25">
      <c r="A344" s="9" t="s">
        <v>475</v>
      </c>
      <c r="B344" s="9" t="s">
        <v>6</v>
      </c>
      <c r="C344" s="74" t="s">
        <v>315</v>
      </c>
      <c r="D344" s="74" t="s">
        <v>316</v>
      </c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ht="13.2" x14ac:dyDescent="0.25">
      <c r="A345" s="9" t="s">
        <v>475</v>
      </c>
      <c r="B345" s="9" t="s">
        <v>8</v>
      </c>
      <c r="C345" s="91">
        <v>1</v>
      </c>
      <c r="D345" s="74" t="s">
        <v>314</v>
      </c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spans="1:24" ht="13.2" x14ac:dyDescent="0.25">
      <c r="A346" s="9" t="s">
        <v>475</v>
      </c>
      <c r="B346" s="9" t="s">
        <v>10</v>
      </c>
      <c r="C346" s="74" t="s">
        <v>315</v>
      </c>
      <c r="D346" s="74" t="s">
        <v>316</v>
      </c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spans="1:24" ht="13.2" x14ac:dyDescent="0.25">
      <c r="A347" s="9" t="s">
        <v>475</v>
      </c>
      <c r="B347" s="9" t="s">
        <v>12</v>
      </c>
      <c r="C347" s="74" t="s">
        <v>315</v>
      </c>
      <c r="D347" s="74" t="s">
        <v>316</v>
      </c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spans="1:24" ht="13.2" x14ac:dyDescent="0.25">
      <c r="A348" s="9" t="s">
        <v>475</v>
      </c>
      <c r="B348" s="9" t="s">
        <v>14</v>
      </c>
      <c r="C348" s="74" t="s">
        <v>477</v>
      </c>
      <c r="D348" s="74" t="s">
        <v>478</v>
      </c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spans="1:24" ht="13.2" x14ac:dyDescent="0.25">
      <c r="A349" s="9" t="s">
        <v>475</v>
      </c>
      <c r="B349" s="9" t="s">
        <v>16</v>
      </c>
      <c r="C349" s="74" t="s">
        <v>479</v>
      </c>
      <c r="D349" s="74" t="s">
        <v>314</v>
      </c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ht="13.2" x14ac:dyDescent="0.25">
      <c r="A350" s="9" t="s">
        <v>475</v>
      </c>
      <c r="B350" s="9" t="s">
        <v>18</v>
      </c>
      <c r="C350" s="74" t="s">
        <v>480</v>
      </c>
      <c r="D350" s="74" t="s">
        <v>314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spans="1:24" ht="13.2" x14ac:dyDescent="0.25">
      <c r="A351" s="9" t="s">
        <v>475</v>
      </c>
      <c r="B351" s="9" t="s">
        <v>20</v>
      </c>
      <c r="C351" s="74" t="s">
        <v>481</v>
      </c>
      <c r="D351" s="74" t="s">
        <v>314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spans="1:24" ht="13.2" x14ac:dyDescent="0.25">
      <c r="A352" s="9" t="s">
        <v>475</v>
      </c>
      <c r="B352" s="9" t="s">
        <v>22</v>
      </c>
      <c r="C352" s="74" t="s">
        <v>482</v>
      </c>
      <c r="D352" s="74" t="s">
        <v>314</v>
      </c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spans="1:24" ht="13.2" x14ac:dyDescent="0.25">
      <c r="A353" s="9" t="s">
        <v>475</v>
      </c>
      <c r="B353" s="9" t="s">
        <v>24</v>
      </c>
      <c r="C353" s="74" t="s">
        <v>483</v>
      </c>
      <c r="D353" s="74" t="s">
        <v>314</v>
      </c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spans="1:24" ht="13.2" x14ac:dyDescent="0.25">
      <c r="A354" s="9" t="s">
        <v>475</v>
      </c>
      <c r="B354" s="9" t="s">
        <v>26</v>
      </c>
      <c r="C354" s="74" t="s">
        <v>484</v>
      </c>
      <c r="D354" s="74" t="s">
        <v>314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spans="1:24" ht="13.2" x14ac:dyDescent="0.25">
      <c r="A355" s="9" t="s">
        <v>475</v>
      </c>
      <c r="B355" s="9" t="s">
        <v>28</v>
      </c>
      <c r="C355" s="74" t="s">
        <v>315</v>
      </c>
      <c r="D355" s="74" t="s">
        <v>316</v>
      </c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spans="1:24" ht="13.2" x14ac:dyDescent="0.25">
      <c r="A356" s="9" t="s">
        <v>475</v>
      </c>
      <c r="B356" s="9" t="s">
        <v>30</v>
      </c>
      <c r="C356" s="74" t="s">
        <v>485</v>
      </c>
      <c r="D356" s="74" t="s">
        <v>314</v>
      </c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spans="1:24" ht="13.2" x14ac:dyDescent="0.25">
      <c r="A357" s="9" t="s">
        <v>475</v>
      </c>
      <c r="B357" s="9" t="s">
        <v>32</v>
      </c>
      <c r="C357" s="74" t="s">
        <v>315</v>
      </c>
      <c r="D357" s="74" t="s">
        <v>316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spans="1:24" ht="13.2" x14ac:dyDescent="0.25">
      <c r="A358" s="9" t="s">
        <v>475</v>
      </c>
      <c r="B358" s="9" t="s">
        <v>34</v>
      </c>
      <c r="C358" s="74" t="s">
        <v>315</v>
      </c>
      <c r="D358" s="74" t="s">
        <v>316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spans="1:24" ht="13.2" x14ac:dyDescent="0.25">
      <c r="A359" s="9" t="s">
        <v>475</v>
      </c>
      <c r="B359" s="9" t="s">
        <v>36</v>
      </c>
      <c r="C359" s="74" t="s">
        <v>315</v>
      </c>
      <c r="D359" s="74" t="s">
        <v>316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spans="1:24" ht="13.2" x14ac:dyDescent="0.25">
      <c r="A360" s="9" t="s">
        <v>475</v>
      </c>
      <c r="B360" s="9" t="s">
        <v>38</v>
      </c>
      <c r="C360" s="74" t="s">
        <v>315</v>
      </c>
      <c r="D360" s="74" t="s">
        <v>316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spans="1:24" ht="13.2" x14ac:dyDescent="0.25">
      <c r="A361" s="9" t="s">
        <v>475</v>
      </c>
      <c r="B361" s="9" t="s">
        <v>40</v>
      </c>
      <c r="C361" s="74" t="s">
        <v>486</v>
      </c>
      <c r="D361" s="74" t="s">
        <v>314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spans="1:24" ht="13.2" x14ac:dyDescent="0.25">
      <c r="A362" s="9" t="s">
        <v>475</v>
      </c>
      <c r="B362" s="9" t="s">
        <v>42</v>
      </c>
      <c r="C362" s="74" t="s">
        <v>487</v>
      </c>
      <c r="D362" s="74" t="s">
        <v>317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ht="13.2" x14ac:dyDescent="0.25">
      <c r="A363" s="9" t="s">
        <v>475</v>
      </c>
      <c r="B363" s="9" t="s">
        <v>44</v>
      </c>
      <c r="C363" s="74" t="s">
        <v>488</v>
      </c>
      <c r="D363" s="74" t="s">
        <v>317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spans="1:24" ht="13.2" x14ac:dyDescent="0.25">
      <c r="A364" s="9" t="s">
        <v>475</v>
      </c>
      <c r="B364" s="9" t="s">
        <v>46</v>
      </c>
      <c r="C364" s="74" t="s">
        <v>315</v>
      </c>
      <c r="D364" s="74" t="s">
        <v>316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spans="1:24" ht="13.2" x14ac:dyDescent="0.25">
      <c r="A365" s="9" t="s">
        <v>475</v>
      </c>
      <c r="B365" s="9" t="s">
        <v>48</v>
      </c>
      <c r="C365" s="74" t="s">
        <v>315</v>
      </c>
      <c r="D365" s="74" t="s">
        <v>316</v>
      </c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spans="1:24" ht="13.2" x14ac:dyDescent="0.25">
      <c r="A366" s="9" t="s">
        <v>475</v>
      </c>
      <c r="B366" s="9" t="s">
        <v>124</v>
      </c>
      <c r="C366" s="74" t="s">
        <v>489</v>
      </c>
      <c r="D366" s="74" t="s">
        <v>317</v>
      </c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ht="13.2" x14ac:dyDescent="0.25">
      <c r="A367" s="9" t="s">
        <v>475</v>
      </c>
      <c r="B367" s="9" t="s">
        <v>126</v>
      </c>
      <c r="C367" s="74" t="s">
        <v>490</v>
      </c>
      <c r="D367" s="74" t="s">
        <v>317</v>
      </c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spans="1:24" ht="13.2" x14ac:dyDescent="0.25">
      <c r="A368" s="9" t="s">
        <v>475</v>
      </c>
      <c r="B368" s="9" t="s">
        <v>130</v>
      </c>
      <c r="C368" s="74" t="s">
        <v>315</v>
      </c>
      <c r="D368" s="74" t="s">
        <v>316</v>
      </c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spans="1:24" ht="13.2" x14ac:dyDescent="0.25">
      <c r="A369" s="9" t="s">
        <v>475</v>
      </c>
      <c r="B369" s="9" t="s">
        <v>131</v>
      </c>
      <c r="C369" s="74" t="s">
        <v>315</v>
      </c>
      <c r="D369" s="74" t="s">
        <v>316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spans="1:24" ht="13.2" x14ac:dyDescent="0.25">
      <c r="A370" s="9" t="s">
        <v>475</v>
      </c>
      <c r="B370" s="9" t="s">
        <v>132</v>
      </c>
      <c r="C370" s="74" t="s">
        <v>315</v>
      </c>
      <c r="D370" s="74" t="s">
        <v>491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spans="1:24" ht="13.2" x14ac:dyDescent="0.25">
      <c r="A371" s="9" t="s">
        <v>475</v>
      </c>
      <c r="B371" s="9" t="s">
        <v>50</v>
      </c>
      <c r="C371" s="74" t="s">
        <v>492</v>
      </c>
      <c r="D371" s="74" t="s">
        <v>314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spans="1:24" ht="13.2" x14ac:dyDescent="0.25">
      <c r="A372" s="9" t="s">
        <v>475</v>
      </c>
      <c r="B372" s="9" t="s">
        <v>52</v>
      </c>
      <c r="C372" s="74" t="s">
        <v>493</v>
      </c>
      <c r="D372" s="74" t="s">
        <v>314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spans="1:24" ht="13.2" x14ac:dyDescent="0.25">
      <c r="A373" s="9" t="s">
        <v>475</v>
      </c>
      <c r="B373" s="9" t="s">
        <v>54</v>
      </c>
      <c r="C373" s="74" t="s">
        <v>494</v>
      </c>
      <c r="D373" s="74" t="s">
        <v>314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spans="1:24" ht="13.2" x14ac:dyDescent="0.25">
      <c r="A374" s="9" t="s">
        <v>475</v>
      </c>
      <c r="B374" s="9" t="s">
        <v>134</v>
      </c>
      <c r="C374" s="74" t="s">
        <v>315</v>
      </c>
      <c r="D374" s="74" t="s">
        <v>316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spans="1:24" ht="13.2" x14ac:dyDescent="0.25">
      <c r="A375" s="9" t="s">
        <v>475</v>
      </c>
      <c r="B375" s="9" t="s">
        <v>135</v>
      </c>
      <c r="C375" s="74" t="s">
        <v>315</v>
      </c>
      <c r="D375" s="74" t="s">
        <v>316</v>
      </c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spans="1:24" ht="13.2" x14ac:dyDescent="0.25">
      <c r="A376" s="9" t="s">
        <v>475</v>
      </c>
      <c r="B376" s="9" t="s">
        <v>136</v>
      </c>
      <c r="C376" s="74" t="s">
        <v>458</v>
      </c>
      <c r="D376" s="74" t="s">
        <v>495</v>
      </c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spans="1:24" ht="13.2" x14ac:dyDescent="0.25">
      <c r="A377" s="9" t="s">
        <v>475</v>
      </c>
      <c r="B377" s="9" t="s">
        <v>56</v>
      </c>
      <c r="C377" s="74" t="s">
        <v>315</v>
      </c>
      <c r="D377" s="74" t="s">
        <v>316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spans="1:24" ht="13.2" x14ac:dyDescent="0.25">
      <c r="A378" s="9" t="s">
        <v>475</v>
      </c>
      <c r="B378" s="9" t="s">
        <v>337</v>
      </c>
      <c r="C378" s="74" t="s">
        <v>496</v>
      </c>
      <c r="D378" s="74" t="s">
        <v>317</v>
      </c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spans="1:24" ht="13.2" x14ac:dyDescent="0.25">
      <c r="A379" s="9" t="s">
        <v>475</v>
      </c>
      <c r="B379" s="9" t="s">
        <v>339</v>
      </c>
      <c r="C379" s="74" t="s">
        <v>315</v>
      </c>
      <c r="D379" s="74" t="s">
        <v>316</v>
      </c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spans="1:24" ht="13.2" x14ac:dyDescent="0.25">
      <c r="A380" s="9" t="s">
        <v>475</v>
      </c>
      <c r="B380" s="9" t="s">
        <v>66</v>
      </c>
      <c r="C380" s="74" t="s">
        <v>497</v>
      </c>
      <c r="D380" s="74" t="s">
        <v>314</v>
      </c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spans="1:24" ht="13.2" x14ac:dyDescent="0.25">
      <c r="A381" s="9" t="s">
        <v>475</v>
      </c>
      <c r="B381" s="9" t="s">
        <v>68</v>
      </c>
      <c r="C381" s="91">
        <v>0.45</v>
      </c>
      <c r="D381" s="74" t="s">
        <v>314</v>
      </c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spans="1:24" ht="13.2" x14ac:dyDescent="0.25">
      <c r="A382" s="9" t="s">
        <v>475</v>
      </c>
      <c r="B382" s="9" t="s">
        <v>341</v>
      </c>
      <c r="C382" s="74" t="s">
        <v>498</v>
      </c>
      <c r="D382" s="74" t="s">
        <v>314</v>
      </c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spans="1:24" ht="13.2" x14ac:dyDescent="0.25">
      <c r="A383" s="9" t="s">
        <v>475</v>
      </c>
      <c r="B383" s="9" t="s">
        <v>72</v>
      </c>
      <c r="C383" s="74" t="s">
        <v>315</v>
      </c>
      <c r="D383" s="74" t="s">
        <v>499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spans="1:24" ht="13.2" x14ac:dyDescent="0.25">
      <c r="A384" s="9" t="s">
        <v>475</v>
      </c>
      <c r="B384" s="9" t="s">
        <v>342</v>
      </c>
      <c r="C384" s="74" t="s">
        <v>500</v>
      </c>
      <c r="D384" s="74" t="s">
        <v>317</v>
      </c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spans="1:24" ht="13.2" x14ac:dyDescent="0.25">
      <c r="A385" s="9" t="s">
        <v>475</v>
      </c>
      <c r="B385" s="9" t="s">
        <v>343</v>
      </c>
      <c r="C385" s="74" t="s">
        <v>315</v>
      </c>
      <c r="D385" s="74" t="s">
        <v>316</v>
      </c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spans="1:24" ht="13.2" x14ac:dyDescent="0.25">
      <c r="A386" s="9" t="s">
        <v>475</v>
      </c>
      <c r="B386" s="9" t="s">
        <v>344</v>
      </c>
      <c r="C386" s="74" t="s">
        <v>315</v>
      </c>
      <c r="D386" s="74" t="s">
        <v>316</v>
      </c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spans="1:24" ht="13.2" x14ac:dyDescent="0.25">
      <c r="A387" s="9" t="s">
        <v>475</v>
      </c>
      <c r="B387" s="9" t="s">
        <v>345</v>
      </c>
      <c r="C387" s="74" t="s">
        <v>315</v>
      </c>
      <c r="D387" s="74" t="s">
        <v>316</v>
      </c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spans="1:24" ht="13.2" x14ac:dyDescent="0.25">
      <c r="A388" s="9" t="s">
        <v>475</v>
      </c>
      <c r="B388" s="9" t="s">
        <v>346</v>
      </c>
      <c r="C388" s="74" t="s">
        <v>315</v>
      </c>
      <c r="D388" s="74" t="s">
        <v>316</v>
      </c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spans="1:24" ht="13.2" x14ac:dyDescent="0.25">
      <c r="A389" s="9" t="s">
        <v>475</v>
      </c>
      <c r="B389" s="9" t="s">
        <v>347</v>
      </c>
      <c r="C389" s="74" t="s">
        <v>501</v>
      </c>
      <c r="D389" s="74" t="s">
        <v>314</v>
      </c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spans="1:24" ht="13.2" x14ac:dyDescent="0.25">
      <c r="A390" s="9" t="s">
        <v>475</v>
      </c>
      <c r="B390" s="9" t="s">
        <v>348</v>
      </c>
      <c r="C390" s="74" t="s">
        <v>315</v>
      </c>
      <c r="D390" s="74" t="s">
        <v>316</v>
      </c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spans="1:24" ht="13.2" x14ac:dyDescent="0.25">
      <c r="A391" s="9" t="s">
        <v>475</v>
      </c>
      <c r="B391" s="9" t="s">
        <v>349</v>
      </c>
      <c r="C391" s="74" t="s">
        <v>502</v>
      </c>
      <c r="D391" s="74" t="s">
        <v>314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spans="1:24" ht="13.2" x14ac:dyDescent="0.25">
      <c r="A392" s="9" t="s">
        <v>475</v>
      </c>
      <c r="B392" s="9" t="s">
        <v>150</v>
      </c>
      <c r="C392" s="74" t="s">
        <v>315</v>
      </c>
      <c r="D392" s="74" t="s">
        <v>316</v>
      </c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spans="1:24" ht="13.2" x14ac:dyDescent="0.25">
      <c r="A393" s="9" t="s">
        <v>475</v>
      </c>
      <c r="B393" s="9" t="s">
        <v>351</v>
      </c>
      <c r="C393" s="74" t="s">
        <v>503</v>
      </c>
      <c r="D393" s="74" t="s">
        <v>317</v>
      </c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spans="1:24" ht="13.2" x14ac:dyDescent="0.25">
      <c r="A394" s="9" t="s">
        <v>475</v>
      </c>
      <c r="B394" s="9" t="s">
        <v>152</v>
      </c>
      <c r="C394" s="74" t="s">
        <v>504</v>
      </c>
      <c r="D394" s="74" t="s">
        <v>314</v>
      </c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spans="1:24" ht="13.2" x14ac:dyDescent="0.25">
      <c r="A395" s="9" t="s">
        <v>475</v>
      </c>
      <c r="B395" s="9" t="s">
        <v>78</v>
      </c>
      <c r="C395" s="74">
        <v>2025</v>
      </c>
      <c r="D395" s="74" t="s">
        <v>314</v>
      </c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spans="1:24" ht="13.2" x14ac:dyDescent="0.25">
      <c r="A396" s="9" t="s">
        <v>475</v>
      </c>
      <c r="B396" s="9" t="s">
        <v>80</v>
      </c>
      <c r="C396" s="74">
        <v>2030</v>
      </c>
      <c r="D396" s="74" t="s">
        <v>314</v>
      </c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spans="1:24" ht="13.2" x14ac:dyDescent="0.25">
      <c r="A397" s="9" t="s">
        <v>475</v>
      </c>
      <c r="B397" s="9" t="s">
        <v>82</v>
      </c>
      <c r="C397" s="74">
        <v>2030</v>
      </c>
      <c r="D397" s="74" t="s">
        <v>314</v>
      </c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spans="1:24" ht="13.2" x14ac:dyDescent="0.25">
      <c r="A398" s="9" t="s">
        <v>505</v>
      </c>
      <c r="B398" s="9" t="s">
        <v>2</v>
      </c>
      <c r="C398" s="74" t="s">
        <v>506</v>
      </c>
      <c r="D398" s="74" t="s">
        <v>314</v>
      </c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spans="1:24" ht="13.2" x14ac:dyDescent="0.25">
      <c r="A399" s="9" t="s">
        <v>505</v>
      </c>
      <c r="B399" s="9" t="s">
        <v>4</v>
      </c>
      <c r="C399" s="74" t="s">
        <v>507</v>
      </c>
      <c r="D399" s="74" t="s">
        <v>317</v>
      </c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spans="1:24" ht="13.2" x14ac:dyDescent="0.25">
      <c r="A400" s="9" t="s">
        <v>505</v>
      </c>
      <c r="B400" s="9" t="s">
        <v>6</v>
      </c>
      <c r="C400" s="74" t="s">
        <v>508</v>
      </c>
      <c r="D400" s="74" t="s">
        <v>317</v>
      </c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spans="1:24" ht="13.2" x14ac:dyDescent="0.25">
      <c r="A401" s="9" t="s">
        <v>505</v>
      </c>
      <c r="B401" s="9" t="s">
        <v>8</v>
      </c>
      <c r="C401" s="91">
        <v>0.62</v>
      </c>
      <c r="D401" s="74" t="s">
        <v>314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spans="1:24" ht="13.2" x14ac:dyDescent="0.25">
      <c r="A402" s="9" t="s">
        <v>505</v>
      </c>
      <c r="B402" s="9" t="s">
        <v>10</v>
      </c>
      <c r="C402" s="74" t="s">
        <v>315</v>
      </c>
      <c r="D402" s="74" t="s">
        <v>316</v>
      </c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spans="1:24" ht="13.2" x14ac:dyDescent="0.25">
      <c r="A403" s="9" t="s">
        <v>505</v>
      </c>
      <c r="B403" s="9" t="s">
        <v>12</v>
      </c>
      <c r="C403" s="74" t="s">
        <v>315</v>
      </c>
      <c r="D403" s="74" t="s">
        <v>316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spans="1:24" ht="13.2" x14ac:dyDescent="0.25">
      <c r="A404" s="9" t="s">
        <v>505</v>
      </c>
      <c r="B404" s="9" t="s">
        <v>14</v>
      </c>
      <c r="C404" s="74" t="s">
        <v>509</v>
      </c>
      <c r="D404" s="74" t="s">
        <v>314</v>
      </c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spans="1:24" ht="13.2" x14ac:dyDescent="0.25">
      <c r="A405" s="9" t="s">
        <v>505</v>
      </c>
      <c r="B405" s="9" t="s">
        <v>16</v>
      </c>
      <c r="C405" s="74" t="s">
        <v>510</v>
      </c>
      <c r="D405" s="74" t="s">
        <v>314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spans="1:24" ht="13.2" x14ac:dyDescent="0.25">
      <c r="A406" s="9" t="s">
        <v>505</v>
      </c>
      <c r="B406" s="9" t="s">
        <v>18</v>
      </c>
      <c r="C406" s="74" t="s">
        <v>511</v>
      </c>
      <c r="D406" s="74" t="s">
        <v>314</v>
      </c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spans="1:24" ht="13.2" x14ac:dyDescent="0.25">
      <c r="A407" s="9" t="s">
        <v>505</v>
      </c>
      <c r="B407" s="9" t="s">
        <v>20</v>
      </c>
      <c r="C407" s="74" t="s">
        <v>512</v>
      </c>
      <c r="D407" s="74" t="s">
        <v>317</v>
      </c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spans="1:24" ht="13.2" x14ac:dyDescent="0.25">
      <c r="A408" s="9" t="s">
        <v>505</v>
      </c>
      <c r="B408" s="9" t="s">
        <v>22</v>
      </c>
      <c r="C408" s="74" t="s">
        <v>513</v>
      </c>
      <c r="D408" s="74" t="s">
        <v>317</v>
      </c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spans="1:24" ht="13.2" x14ac:dyDescent="0.25">
      <c r="A409" s="9" t="s">
        <v>505</v>
      </c>
      <c r="B409" s="9" t="s">
        <v>24</v>
      </c>
      <c r="C409" s="74" t="s">
        <v>382</v>
      </c>
      <c r="D409" s="74" t="s">
        <v>316</v>
      </c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spans="1:24" ht="13.2" x14ac:dyDescent="0.25">
      <c r="A410" s="9" t="s">
        <v>505</v>
      </c>
      <c r="B410" s="9" t="s">
        <v>26</v>
      </c>
      <c r="C410" s="74" t="s">
        <v>514</v>
      </c>
      <c r="D410" s="74" t="s">
        <v>314</v>
      </c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spans="1:24" ht="13.2" x14ac:dyDescent="0.25">
      <c r="A411" s="9" t="s">
        <v>505</v>
      </c>
      <c r="B411" s="9" t="s">
        <v>28</v>
      </c>
      <c r="C411" s="74" t="s">
        <v>315</v>
      </c>
      <c r="D411" s="74" t="s">
        <v>316</v>
      </c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spans="1:24" ht="13.2" x14ac:dyDescent="0.25">
      <c r="A412" s="9" t="s">
        <v>505</v>
      </c>
      <c r="B412" s="9" t="s">
        <v>30</v>
      </c>
      <c r="C412" s="74" t="s">
        <v>515</v>
      </c>
      <c r="D412" s="74" t="s">
        <v>317</v>
      </c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spans="1:24" ht="13.2" x14ac:dyDescent="0.25">
      <c r="A413" s="9" t="s">
        <v>505</v>
      </c>
      <c r="B413" s="9" t="s">
        <v>32</v>
      </c>
      <c r="C413" s="74" t="s">
        <v>315</v>
      </c>
      <c r="D413" s="74" t="s">
        <v>316</v>
      </c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spans="1:24" ht="13.2" x14ac:dyDescent="0.25">
      <c r="A414" s="9" t="s">
        <v>505</v>
      </c>
      <c r="B414" s="9" t="s">
        <v>34</v>
      </c>
      <c r="C414" s="74" t="s">
        <v>315</v>
      </c>
      <c r="D414" s="74" t="s">
        <v>316</v>
      </c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spans="1:24" ht="13.2" x14ac:dyDescent="0.25">
      <c r="A415" s="9" t="s">
        <v>505</v>
      </c>
      <c r="B415" s="9" t="s">
        <v>36</v>
      </c>
      <c r="C415" s="74" t="s">
        <v>315</v>
      </c>
      <c r="D415" s="74" t="s">
        <v>316</v>
      </c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spans="1:24" ht="13.2" x14ac:dyDescent="0.25">
      <c r="A416" s="9" t="s">
        <v>505</v>
      </c>
      <c r="B416" s="9" t="s">
        <v>38</v>
      </c>
      <c r="C416" s="74" t="s">
        <v>315</v>
      </c>
      <c r="D416" s="74" t="s">
        <v>316</v>
      </c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spans="1:24" ht="13.2" x14ac:dyDescent="0.25">
      <c r="A417" s="9" t="s">
        <v>505</v>
      </c>
      <c r="B417" s="9" t="s">
        <v>40</v>
      </c>
      <c r="C417" s="74" t="s">
        <v>315</v>
      </c>
      <c r="D417" s="74" t="s">
        <v>316</v>
      </c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spans="1:24" ht="13.2" x14ac:dyDescent="0.25">
      <c r="A418" s="9" t="s">
        <v>505</v>
      </c>
      <c r="B418" s="9" t="s">
        <v>42</v>
      </c>
      <c r="C418" s="74" t="s">
        <v>516</v>
      </c>
      <c r="D418" s="74" t="s">
        <v>317</v>
      </c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spans="1:24" ht="13.2" x14ac:dyDescent="0.25">
      <c r="A419" s="9" t="s">
        <v>505</v>
      </c>
      <c r="B419" s="9" t="s">
        <v>44</v>
      </c>
      <c r="C419" s="74" t="s">
        <v>315</v>
      </c>
      <c r="D419" s="74" t="s">
        <v>316</v>
      </c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spans="1:24" ht="13.2" x14ac:dyDescent="0.25">
      <c r="A420" s="9" t="s">
        <v>505</v>
      </c>
      <c r="B420" s="9" t="s">
        <v>46</v>
      </c>
      <c r="C420" s="74" t="s">
        <v>517</v>
      </c>
      <c r="D420" s="74" t="s">
        <v>314</v>
      </c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spans="1:24" ht="13.2" x14ac:dyDescent="0.25">
      <c r="A421" s="9" t="s">
        <v>505</v>
      </c>
      <c r="B421" s="9" t="s">
        <v>48</v>
      </c>
      <c r="C421" s="74" t="s">
        <v>518</v>
      </c>
      <c r="D421" s="74" t="s">
        <v>314</v>
      </c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spans="1:24" ht="13.2" x14ac:dyDescent="0.25">
      <c r="A422" s="9" t="s">
        <v>505</v>
      </c>
      <c r="B422" s="9" t="s">
        <v>124</v>
      </c>
      <c r="C422" s="74" t="s">
        <v>519</v>
      </c>
      <c r="D422" s="74" t="s">
        <v>317</v>
      </c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spans="1:24" ht="13.2" x14ac:dyDescent="0.25">
      <c r="A423" s="9" t="s">
        <v>505</v>
      </c>
      <c r="B423" s="9" t="s">
        <v>126</v>
      </c>
      <c r="C423" s="74" t="s">
        <v>315</v>
      </c>
      <c r="D423" s="74" t="s">
        <v>316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spans="1:24" ht="13.2" x14ac:dyDescent="0.25">
      <c r="A424" s="9" t="s">
        <v>505</v>
      </c>
      <c r="B424" s="9" t="s">
        <v>130</v>
      </c>
      <c r="C424" s="74" t="s">
        <v>315</v>
      </c>
      <c r="D424" s="74" t="s">
        <v>316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spans="1:24" ht="13.2" x14ac:dyDescent="0.25">
      <c r="A425" s="9" t="s">
        <v>505</v>
      </c>
      <c r="B425" s="9" t="s">
        <v>131</v>
      </c>
      <c r="C425" s="74" t="s">
        <v>315</v>
      </c>
      <c r="D425" s="74" t="s">
        <v>316</v>
      </c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spans="1:24" ht="13.2" x14ac:dyDescent="0.25">
      <c r="A426" s="9" t="s">
        <v>505</v>
      </c>
      <c r="B426" s="9" t="s">
        <v>132</v>
      </c>
      <c r="C426" s="74" t="s">
        <v>315</v>
      </c>
      <c r="D426" s="74" t="s">
        <v>316</v>
      </c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spans="1:24" ht="13.2" x14ac:dyDescent="0.25">
      <c r="A427" s="9" t="s">
        <v>505</v>
      </c>
      <c r="B427" s="9" t="s">
        <v>50</v>
      </c>
      <c r="C427" s="74" t="s">
        <v>520</v>
      </c>
      <c r="D427" s="74" t="s">
        <v>314</v>
      </c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spans="1:24" ht="13.2" x14ac:dyDescent="0.25">
      <c r="A428" s="9" t="s">
        <v>505</v>
      </c>
      <c r="B428" s="9" t="s">
        <v>52</v>
      </c>
      <c r="C428" s="74" t="s">
        <v>521</v>
      </c>
      <c r="D428" s="74" t="s">
        <v>314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spans="1:24" ht="13.2" x14ac:dyDescent="0.25">
      <c r="A429" s="9" t="s">
        <v>505</v>
      </c>
      <c r="B429" s="9" t="s">
        <v>54</v>
      </c>
      <c r="C429" s="74" t="s">
        <v>522</v>
      </c>
      <c r="D429" s="74" t="s">
        <v>314</v>
      </c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spans="1:24" ht="13.2" x14ac:dyDescent="0.25">
      <c r="A430" s="9" t="s">
        <v>505</v>
      </c>
      <c r="B430" s="9" t="s">
        <v>134</v>
      </c>
      <c r="C430" s="74" t="s">
        <v>443</v>
      </c>
      <c r="D430" s="74" t="s">
        <v>317</v>
      </c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spans="1:24" ht="13.2" x14ac:dyDescent="0.25">
      <c r="A431" s="9" t="s">
        <v>505</v>
      </c>
      <c r="B431" s="9" t="s">
        <v>135</v>
      </c>
      <c r="C431" s="74" t="s">
        <v>443</v>
      </c>
      <c r="D431" s="74" t="s">
        <v>317</v>
      </c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spans="1:24" ht="13.2" x14ac:dyDescent="0.25">
      <c r="A432" s="9" t="s">
        <v>505</v>
      </c>
      <c r="B432" s="9" t="s">
        <v>136</v>
      </c>
      <c r="C432" s="74" t="s">
        <v>443</v>
      </c>
      <c r="D432" s="74" t="s">
        <v>317</v>
      </c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spans="1:24" ht="13.2" x14ac:dyDescent="0.25">
      <c r="A433" s="9" t="s">
        <v>505</v>
      </c>
      <c r="B433" s="9" t="s">
        <v>56</v>
      </c>
      <c r="C433" s="74" t="s">
        <v>523</v>
      </c>
      <c r="D433" s="74" t="s">
        <v>314</v>
      </c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spans="1:24" ht="13.2" x14ac:dyDescent="0.25">
      <c r="A434" s="9" t="s">
        <v>505</v>
      </c>
      <c r="B434" s="9" t="s">
        <v>337</v>
      </c>
      <c r="C434" s="74" t="s">
        <v>524</v>
      </c>
      <c r="D434" s="74" t="s">
        <v>317</v>
      </c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spans="1:24" ht="13.2" x14ac:dyDescent="0.25">
      <c r="A435" s="9" t="s">
        <v>505</v>
      </c>
      <c r="B435" s="9" t="s">
        <v>470</v>
      </c>
      <c r="C435" s="74" t="s">
        <v>525</v>
      </c>
      <c r="D435" s="74" t="s">
        <v>314</v>
      </c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spans="1:24" ht="13.2" x14ac:dyDescent="0.25">
      <c r="A436" s="9" t="s">
        <v>505</v>
      </c>
      <c r="B436" s="9" t="s">
        <v>472</v>
      </c>
      <c r="C436" s="74" t="s">
        <v>526</v>
      </c>
      <c r="D436" s="74" t="s">
        <v>317</v>
      </c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spans="1:24" ht="13.2" x14ac:dyDescent="0.25">
      <c r="A437" s="9" t="s">
        <v>505</v>
      </c>
      <c r="B437" s="9" t="s">
        <v>66</v>
      </c>
      <c r="C437" s="91">
        <v>0.95</v>
      </c>
      <c r="D437" s="74" t="s">
        <v>314</v>
      </c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spans="1:24" ht="13.2" x14ac:dyDescent="0.25">
      <c r="A438" s="9" t="s">
        <v>505</v>
      </c>
      <c r="B438" s="9" t="s">
        <v>68</v>
      </c>
      <c r="C438" s="74" t="s">
        <v>527</v>
      </c>
      <c r="D438" s="74" t="s">
        <v>314</v>
      </c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spans="1:24" ht="13.2" x14ac:dyDescent="0.25">
      <c r="A439" s="9" t="s">
        <v>505</v>
      </c>
      <c r="B439" s="9" t="s">
        <v>341</v>
      </c>
      <c r="C439" s="74" t="s">
        <v>315</v>
      </c>
      <c r="D439" s="74" t="s">
        <v>316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spans="1:24" ht="13.2" x14ac:dyDescent="0.25">
      <c r="A440" s="9" t="s">
        <v>505</v>
      </c>
      <c r="B440" s="9" t="s">
        <v>72</v>
      </c>
      <c r="C440" s="74" t="s">
        <v>315</v>
      </c>
      <c r="D440" s="74" t="s">
        <v>316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spans="1:24" ht="13.2" x14ac:dyDescent="0.25">
      <c r="A441" s="9" t="s">
        <v>505</v>
      </c>
      <c r="B441" s="9" t="s">
        <v>342</v>
      </c>
      <c r="C441" s="74" t="s">
        <v>528</v>
      </c>
      <c r="D441" s="74" t="s">
        <v>317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spans="1:24" ht="13.2" x14ac:dyDescent="0.25">
      <c r="A442" s="9" t="s">
        <v>505</v>
      </c>
      <c r="B442" s="9" t="s">
        <v>343</v>
      </c>
      <c r="C442" s="74" t="s">
        <v>315</v>
      </c>
      <c r="D442" s="74" t="s">
        <v>316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spans="1:24" ht="13.2" x14ac:dyDescent="0.25">
      <c r="A443" s="9" t="s">
        <v>505</v>
      </c>
      <c r="B443" s="9" t="s">
        <v>344</v>
      </c>
      <c r="C443" s="74" t="s">
        <v>315</v>
      </c>
      <c r="D443" s="74" t="s">
        <v>316</v>
      </c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spans="1:24" ht="13.2" x14ac:dyDescent="0.25">
      <c r="A444" s="9" t="s">
        <v>505</v>
      </c>
      <c r="B444" s="9" t="s">
        <v>345</v>
      </c>
      <c r="C444" s="74" t="s">
        <v>315</v>
      </c>
      <c r="D444" s="74" t="s">
        <v>316</v>
      </c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spans="1:24" ht="13.2" x14ac:dyDescent="0.25">
      <c r="A445" s="9" t="s">
        <v>505</v>
      </c>
      <c r="B445" s="9" t="s">
        <v>346</v>
      </c>
      <c r="C445" s="74" t="s">
        <v>315</v>
      </c>
      <c r="D445" s="74" t="s">
        <v>316</v>
      </c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spans="1:24" ht="13.2" x14ac:dyDescent="0.25">
      <c r="A446" s="9" t="s">
        <v>505</v>
      </c>
      <c r="B446" s="9" t="s">
        <v>347</v>
      </c>
      <c r="C446" s="74" t="s">
        <v>529</v>
      </c>
      <c r="D446" s="74" t="s">
        <v>317</v>
      </c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spans="1:24" ht="13.2" x14ac:dyDescent="0.25">
      <c r="A447" s="9" t="s">
        <v>505</v>
      </c>
      <c r="B447" s="9" t="s">
        <v>348</v>
      </c>
      <c r="C447" s="74" t="s">
        <v>315</v>
      </c>
      <c r="D447" s="74" t="s">
        <v>316</v>
      </c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spans="1:24" ht="13.2" x14ac:dyDescent="0.25">
      <c r="A448" s="9" t="s">
        <v>505</v>
      </c>
      <c r="B448" s="9" t="s">
        <v>349</v>
      </c>
      <c r="C448" s="91">
        <v>0.3</v>
      </c>
      <c r="D448" s="74" t="s">
        <v>314</v>
      </c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spans="1:24" ht="13.2" x14ac:dyDescent="0.25">
      <c r="A449" s="9" t="s">
        <v>505</v>
      </c>
      <c r="B449" s="9" t="s">
        <v>150</v>
      </c>
      <c r="C449" s="74" t="s">
        <v>315</v>
      </c>
      <c r="D449" s="74" t="s">
        <v>316</v>
      </c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spans="1:24" ht="13.2" x14ac:dyDescent="0.25">
      <c r="A450" s="9" t="s">
        <v>505</v>
      </c>
      <c r="B450" s="9" t="s">
        <v>351</v>
      </c>
      <c r="C450" s="74" t="s">
        <v>530</v>
      </c>
      <c r="D450" s="74" t="s">
        <v>314</v>
      </c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spans="1:24" ht="13.2" x14ac:dyDescent="0.25">
      <c r="A451" s="9" t="s">
        <v>505</v>
      </c>
      <c r="B451" s="9" t="s">
        <v>152</v>
      </c>
      <c r="C451" s="74" t="s">
        <v>531</v>
      </c>
      <c r="D451" s="74" t="s">
        <v>314</v>
      </c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spans="1:24" ht="13.2" x14ac:dyDescent="0.25">
      <c r="A452" s="9" t="s">
        <v>505</v>
      </c>
      <c r="B452" s="9" t="s">
        <v>78</v>
      </c>
      <c r="C452" s="74">
        <v>2025</v>
      </c>
      <c r="D452" s="74" t="s">
        <v>314</v>
      </c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spans="1:24" ht="13.2" x14ac:dyDescent="0.25">
      <c r="A453" s="9" t="s">
        <v>505</v>
      </c>
      <c r="B453" s="9" t="s">
        <v>80</v>
      </c>
      <c r="C453" s="74">
        <v>2030</v>
      </c>
      <c r="D453" s="74" t="s">
        <v>314</v>
      </c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spans="1:24" ht="13.2" x14ac:dyDescent="0.25">
      <c r="A454" s="9" t="s">
        <v>505</v>
      </c>
      <c r="B454" s="9" t="s">
        <v>82</v>
      </c>
      <c r="C454" s="74">
        <v>2030</v>
      </c>
      <c r="D454" s="74" t="s">
        <v>314</v>
      </c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spans="1:24" ht="13.2" x14ac:dyDescent="0.25">
      <c r="A455" s="9" t="s">
        <v>94</v>
      </c>
      <c r="B455" s="9" t="s">
        <v>2</v>
      </c>
      <c r="C455" s="74" t="s">
        <v>532</v>
      </c>
      <c r="D455" s="74" t="s">
        <v>533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spans="1:24" ht="13.2" x14ac:dyDescent="0.25">
      <c r="A456" s="9" t="s">
        <v>94</v>
      </c>
      <c r="B456" s="9" t="s">
        <v>4</v>
      </c>
      <c r="C456" s="74" t="s">
        <v>534</v>
      </c>
      <c r="D456" s="74" t="s">
        <v>535</v>
      </c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spans="1:24" ht="13.2" x14ac:dyDescent="0.25">
      <c r="A457" s="9" t="s">
        <v>94</v>
      </c>
      <c r="B457" s="9" t="s">
        <v>6</v>
      </c>
      <c r="C457" s="74" t="s">
        <v>536</v>
      </c>
      <c r="D457" s="74" t="s">
        <v>537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spans="1:24" ht="13.2" x14ac:dyDescent="0.25">
      <c r="A458" s="9" t="s">
        <v>94</v>
      </c>
      <c r="B458" s="9" t="s">
        <v>8</v>
      </c>
      <c r="C458" s="74" t="s">
        <v>538</v>
      </c>
      <c r="D458" s="74" t="s">
        <v>533</v>
      </c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spans="1:24" ht="13.2" x14ac:dyDescent="0.25">
      <c r="A459" s="9" t="s">
        <v>94</v>
      </c>
      <c r="B459" s="9" t="s">
        <v>10</v>
      </c>
      <c r="C459" s="74" t="s">
        <v>315</v>
      </c>
      <c r="D459" s="74" t="s">
        <v>535</v>
      </c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spans="1:24" ht="13.2" x14ac:dyDescent="0.25">
      <c r="A460" s="9" t="s">
        <v>94</v>
      </c>
      <c r="B460" s="9" t="s">
        <v>12</v>
      </c>
      <c r="C460" s="74" t="s">
        <v>315</v>
      </c>
      <c r="D460" s="74" t="s">
        <v>535</v>
      </c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spans="1:24" ht="13.2" x14ac:dyDescent="0.25">
      <c r="A461" s="9" t="s">
        <v>94</v>
      </c>
      <c r="B461" s="9" t="s">
        <v>14</v>
      </c>
      <c r="C461" s="74" t="s">
        <v>539</v>
      </c>
      <c r="D461" s="74" t="s">
        <v>537</v>
      </c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spans="1:24" ht="13.2" x14ac:dyDescent="0.25">
      <c r="A462" s="9" t="s">
        <v>94</v>
      </c>
      <c r="B462" s="9" t="s">
        <v>16</v>
      </c>
      <c r="C462" s="74" t="s">
        <v>540</v>
      </c>
      <c r="D462" s="74" t="s">
        <v>533</v>
      </c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spans="1:24" ht="13.2" x14ac:dyDescent="0.25">
      <c r="A463" s="9" t="s">
        <v>94</v>
      </c>
      <c r="B463" s="9" t="s">
        <v>18</v>
      </c>
      <c r="C463" s="74" t="s">
        <v>541</v>
      </c>
      <c r="D463" s="74" t="s">
        <v>533</v>
      </c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spans="1:24" ht="13.2" x14ac:dyDescent="0.25">
      <c r="A464" s="9" t="s">
        <v>94</v>
      </c>
      <c r="B464" s="9" t="s">
        <v>20</v>
      </c>
      <c r="C464" s="74" t="s">
        <v>512</v>
      </c>
      <c r="D464" s="74" t="s">
        <v>537</v>
      </c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spans="1:24" ht="13.2" x14ac:dyDescent="0.25">
      <c r="A465" s="9" t="s">
        <v>94</v>
      </c>
      <c r="B465" s="9" t="s">
        <v>22</v>
      </c>
      <c r="C465" s="74" t="s">
        <v>542</v>
      </c>
      <c r="D465" s="74" t="s">
        <v>537</v>
      </c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spans="1:24" ht="13.2" x14ac:dyDescent="0.25">
      <c r="A466" s="9" t="s">
        <v>94</v>
      </c>
      <c r="B466" s="9" t="s">
        <v>24</v>
      </c>
      <c r="C466" s="74" t="s">
        <v>543</v>
      </c>
      <c r="D466" s="74" t="s">
        <v>535</v>
      </c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spans="1:24" ht="13.2" x14ac:dyDescent="0.25">
      <c r="A467" s="9" t="s">
        <v>94</v>
      </c>
      <c r="B467" s="9" t="s">
        <v>26</v>
      </c>
      <c r="C467" s="74" t="s">
        <v>544</v>
      </c>
      <c r="D467" s="74" t="s">
        <v>545</v>
      </c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spans="1:24" ht="13.2" x14ac:dyDescent="0.25">
      <c r="A468" s="9" t="s">
        <v>94</v>
      </c>
      <c r="B468" s="9" t="s">
        <v>28</v>
      </c>
      <c r="C468" s="74" t="s">
        <v>546</v>
      </c>
      <c r="D468" s="74" t="s">
        <v>545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spans="1:24" ht="13.2" x14ac:dyDescent="0.25">
      <c r="A469" s="9" t="s">
        <v>94</v>
      </c>
      <c r="B469" s="9" t="s">
        <v>30</v>
      </c>
      <c r="C469" s="74" t="s">
        <v>547</v>
      </c>
      <c r="D469" s="74" t="s">
        <v>548</v>
      </c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spans="1:24" ht="13.2" x14ac:dyDescent="0.25">
      <c r="A470" s="9" t="s">
        <v>94</v>
      </c>
      <c r="B470" s="9" t="s">
        <v>32</v>
      </c>
      <c r="C470" s="74" t="s">
        <v>315</v>
      </c>
      <c r="D470" s="74" t="s">
        <v>535</v>
      </c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spans="1:24" ht="13.2" x14ac:dyDescent="0.25">
      <c r="A471" s="9" t="s">
        <v>94</v>
      </c>
      <c r="B471" s="9" t="s">
        <v>34</v>
      </c>
      <c r="C471" s="74" t="s">
        <v>315</v>
      </c>
      <c r="D471" s="74" t="s">
        <v>535</v>
      </c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spans="1:24" ht="13.2" x14ac:dyDescent="0.25">
      <c r="A472" s="9" t="s">
        <v>94</v>
      </c>
      <c r="B472" s="9" t="s">
        <v>36</v>
      </c>
      <c r="C472" s="74" t="s">
        <v>315</v>
      </c>
      <c r="D472" s="74" t="s">
        <v>535</v>
      </c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spans="1:24" ht="13.2" x14ac:dyDescent="0.25">
      <c r="A473" s="9" t="s">
        <v>94</v>
      </c>
      <c r="B473" s="9" t="s">
        <v>38</v>
      </c>
      <c r="C473" s="74" t="s">
        <v>315</v>
      </c>
      <c r="D473" s="74" t="s">
        <v>535</v>
      </c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spans="1:24" ht="13.2" x14ac:dyDescent="0.25">
      <c r="A474" s="9" t="s">
        <v>94</v>
      </c>
      <c r="B474" s="9" t="s">
        <v>40</v>
      </c>
      <c r="C474" s="74" t="s">
        <v>549</v>
      </c>
      <c r="D474" s="74" t="s">
        <v>533</v>
      </c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spans="1:24" ht="13.2" x14ac:dyDescent="0.25">
      <c r="A475" s="9" t="s">
        <v>94</v>
      </c>
      <c r="B475" s="9" t="s">
        <v>42</v>
      </c>
      <c r="C475" s="74" t="s">
        <v>550</v>
      </c>
      <c r="D475" s="74" t="s">
        <v>537</v>
      </c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spans="1:24" ht="13.2" x14ac:dyDescent="0.25">
      <c r="A476" s="9" t="s">
        <v>94</v>
      </c>
      <c r="B476" s="9" t="s">
        <v>44</v>
      </c>
      <c r="C476" s="74" t="s">
        <v>551</v>
      </c>
      <c r="D476" s="74" t="s">
        <v>537</v>
      </c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spans="1:24" ht="13.2" x14ac:dyDescent="0.25">
      <c r="A477" s="9" t="s">
        <v>94</v>
      </c>
      <c r="B477" s="9" t="s">
        <v>46</v>
      </c>
      <c r="C477" s="74" t="s">
        <v>552</v>
      </c>
      <c r="D477" s="74" t="s">
        <v>533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spans="1:24" ht="13.2" x14ac:dyDescent="0.25">
      <c r="A478" s="9" t="s">
        <v>94</v>
      </c>
      <c r="B478" s="9" t="s">
        <v>48</v>
      </c>
      <c r="C478" s="74" t="s">
        <v>553</v>
      </c>
      <c r="D478" s="74" t="s">
        <v>533</v>
      </c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spans="1:24" ht="13.2" x14ac:dyDescent="0.25">
      <c r="A479" s="9" t="s">
        <v>94</v>
      </c>
      <c r="B479" s="9" t="s">
        <v>124</v>
      </c>
      <c r="C479" s="74" t="s">
        <v>554</v>
      </c>
      <c r="D479" s="74" t="s">
        <v>537</v>
      </c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spans="1:24" ht="13.2" x14ac:dyDescent="0.25">
      <c r="A480" s="9" t="s">
        <v>94</v>
      </c>
      <c r="B480" s="9" t="s">
        <v>126</v>
      </c>
      <c r="C480" s="74" t="s">
        <v>555</v>
      </c>
      <c r="D480" s="74" t="s">
        <v>537</v>
      </c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spans="1:24" ht="13.2" x14ac:dyDescent="0.25">
      <c r="A481" s="9" t="s">
        <v>94</v>
      </c>
      <c r="B481" s="9" t="s">
        <v>130</v>
      </c>
      <c r="C481" s="74" t="s">
        <v>315</v>
      </c>
      <c r="D481" s="74" t="s">
        <v>535</v>
      </c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spans="1:24" ht="13.2" x14ac:dyDescent="0.25">
      <c r="A482" s="9" t="s">
        <v>94</v>
      </c>
      <c r="B482" s="9" t="s">
        <v>131</v>
      </c>
      <c r="C482" s="74" t="s">
        <v>315</v>
      </c>
      <c r="D482" s="74" t="s">
        <v>535</v>
      </c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spans="1:24" ht="13.2" x14ac:dyDescent="0.25">
      <c r="A483" s="9" t="s">
        <v>94</v>
      </c>
      <c r="B483" s="9" t="s">
        <v>132</v>
      </c>
      <c r="C483" s="74" t="s">
        <v>315</v>
      </c>
      <c r="D483" s="74" t="s">
        <v>535</v>
      </c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spans="1:24" ht="13.2" x14ac:dyDescent="0.25">
      <c r="A484" s="9" t="s">
        <v>94</v>
      </c>
      <c r="B484" s="9" t="s">
        <v>50</v>
      </c>
      <c r="C484" s="74" t="s">
        <v>556</v>
      </c>
      <c r="D484" s="74" t="s">
        <v>533</v>
      </c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spans="1:24" ht="13.2" x14ac:dyDescent="0.25">
      <c r="A485" s="9" t="s">
        <v>94</v>
      </c>
      <c r="B485" s="9" t="s">
        <v>52</v>
      </c>
      <c r="C485" s="74" t="s">
        <v>557</v>
      </c>
      <c r="D485" s="74" t="s">
        <v>533</v>
      </c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spans="1:24" ht="13.2" x14ac:dyDescent="0.25">
      <c r="A486" s="9" t="s">
        <v>94</v>
      </c>
      <c r="B486" s="9" t="s">
        <v>54</v>
      </c>
      <c r="C486" s="74" t="s">
        <v>558</v>
      </c>
      <c r="D486" s="74" t="s">
        <v>533</v>
      </c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spans="1:24" ht="13.2" x14ac:dyDescent="0.25">
      <c r="A487" s="9" t="s">
        <v>94</v>
      </c>
      <c r="B487" s="9" t="s">
        <v>134</v>
      </c>
      <c r="C487" s="74" t="s">
        <v>559</v>
      </c>
      <c r="D487" s="74" t="s">
        <v>535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spans="1:24" ht="13.2" x14ac:dyDescent="0.25">
      <c r="A488" s="9" t="s">
        <v>94</v>
      </c>
      <c r="B488" s="9" t="s">
        <v>135</v>
      </c>
      <c r="C488" s="74" t="s">
        <v>559</v>
      </c>
      <c r="D488" s="74" t="s">
        <v>535</v>
      </c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spans="1:24" ht="13.2" x14ac:dyDescent="0.25">
      <c r="A489" s="9" t="s">
        <v>94</v>
      </c>
      <c r="B489" s="9" t="s">
        <v>136</v>
      </c>
      <c r="C489" s="74" t="s">
        <v>560</v>
      </c>
      <c r="D489" s="74" t="s">
        <v>535</v>
      </c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spans="1:24" ht="13.2" x14ac:dyDescent="0.25">
      <c r="A490" s="9" t="s">
        <v>94</v>
      </c>
      <c r="B490" s="9" t="s">
        <v>56</v>
      </c>
      <c r="C490" s="74" t="s">
        <v>315</v>
      </c>
      <c r="D490" s="74" t="s">
        <v>535</v>
      </c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spans="1:24" ht="13.2" x14ac:dyDescent="0.25">
      <c r="A491" s="9" t="s">
        <v>94</v>
      </c>
      <c r="B491" s="9" t="s">
        <v>337</v>
      </c>
      <c r="C491" s="74" t="s">
        <v>561</v>
      </c>
      <c r="D491" s="74" t="s">
        <v>533</v>
      </c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spans="1:24" ht="13.2" x14ac:dyDescent="0.25">
      <c r="A492" s="9" t="s">
        <v>94</v>
      </c>
      <c r="B492" s="9" t="s">
        <v>339</v>
      </c>
      <c r="C492" s="74" t="s">
        <v>562</v>
      </c>
      <c r="D492" s="74" t="s">
        <v>563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spans="1:24" ht="13.2" x14ac:dyDescent="0.25">
      <c r="A493" s="9" t="s">
        <v>94</v>
      </c>
      <c r="B493" s="9" t="s">
        <v>66</v>
      </c>
      <c r="C493" s="74" t="s">
        <v>564</v>
      </c>
      <c r="D493" s="74" t="s">
        <v>533</v>
      </c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spans="1:24" ht="13.2" x14ac:dyDescent="0.25">
      <c r="A494" s="9" t="s">
        <v>94</v>
      </c>
      <c r="B494" s="9" t="s">
        <v>68</v>
      </c>
      <c r="C494" s="74" t="s">
        <v>565</v>
      </c>
      <c r="D494" s="74" t="s">
        <v>535</v>
      </c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spans="1:24" ht="13.2" x14ac:dyDescent="0.25">
      <c r="A495" s="9" t="s">
        <v>94</v>
      </c>
      <c r="B495" s="9" t="s">
        <v>70</v>
      </c>
      <c r="C495" s="74" t="s">
        <v>566</v>
      </c>
      <c r="D495" s="74" t="s">
        <v>537</v>
      </c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spans="1:24" ht="13.2" x14ac:dyDescent="0.25">
      <c r="A496" s="9" t="s">
        <v>94</v>
      </c>
      <c r="B496" s="9" t="s">
        <v>72</v>
      </c>
      <c r="C496" s="74" t="s">
        <v>315</v>
      </c>
      <c r="D496" s="74" t="s">
        <v>535</v>
      </c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spans="1:24" ht="13.2" x14ac:dyDescent="0.25">
      <c r="A497" s="9" t="s">
        <v>94</v>
      </c>
      <c r="B497" s="9" t="s">
        <v>74</v>
      </c>
      <c r="C497" s="74" t="s">
        <v>567</v>
      </c>
      <c r="D497" s="74" t="s">
        <v>533</v>
      </c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spans="1:24" ht="13.2" x14ac:dyDescent="0.25">
      <c r="A498" s="9" t="s">
        <v>94</v>
      </c>
      <c r="B498" s="9" t="s">
        <v>142</v>
      </c>
      <c r="C498" s="74" t="s">
        <v>568</v>
      </c>
      <c r="D498" s="74" t="s">
        <v>537</v>
      </c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spans="1:24" ht="13.2" x14ac:dyDescent="0.25">
      <c r="A499" s="9" t="s">
        <v>94</v>
      </c>
      <c r="B499" s="9" t="s">
        <v>143</v>
      </c>
      <c r="C499" s="74" t="s">
        <v>568</v>
      </c>
      <c r="D499" s="74" t="s">
        <v>537</v>
      </c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spans="1:24" ht="13.2" x14ac:dyDescent="0.25">
      <c r="A500" s="9" t="s">
        <v>94</v>
      </c>
      <c r="B500" s="9" t="s">
        <v>144</v>
      </c>
      <c r="C500" s="74" t="s">
        <v>569</v>
      </c>
      <c r="D500" s="74" t="s">
        <v>537</v>
      </c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spans="1:24" ht="13.2" x14ac:dyDescent="0.25">
      <c r="A501" s="9" t="s">
        <v>94</v>
      </c>
      <c r="B501" s="9" t="s">
        <v>145</v>
      </c>
      <c r="C501" s="74" t="s">
        <v>315</v>
      </c>
      <c r="D501" s="74" t="s">
        <v>535</v>
      </c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spans="1:24" ht="13.2" x14ac:dyDescent="0.25">
      <c r="A502" s="9" t="s">
        <v>94</v>
      </c>
      <c r="B502" s="9" t="s">
        <v>146</v>
      </c>
      <c r="C502" s="74" t="s">
        <v>315</v>
      </c>
      <c r="D502" s="74" t="s">
        <v>535</v>
      </c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spans="1:24" ht="13.2" x14ac:dyDescent="0.25">
      <c r="A503" s="9" t="s">
        <v>94</v>
      </c>
      <c r="B503" s="9" t="s">
        <v>147</v>
      </c>
      <c r="C503" s="74" t="s">
        <v>315</v>
      </c>
      <c r="D503" s="74" t="s">
        <v>535</v>
      </c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spans="1:24" ht="13.2" x14ac:dyDescent="0.25">
      <c r="A504" s="9" t="s">
        <v>94</v>
      </c>
      <c r="B504" s="9" t="s">
        <v>76</v>
      </c>
      <c r="C504" s="74" t="s">
        <v>570</v>
      </c>
      <c r="D504" s="74" t="s">
        <v>533</v>
      </c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spans="1:24" ht="13.2" x14ac:dyDescent="0.25">
      <c r="A505" s="9" t="s">
        <v>94</v>
      </c>
      <c r="B505" s="9" t="s">
        <v>571</v>
      </c>
      <c r="C505" s="74" t="s">
        <v>572</v>
      </c>
      <c r="D505" s="74" t="s">
        <v>535</v>
      </c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spans="1:24" ht="13.2" x14ac:dyDescent="0.25">
      <c r="A506" s="9" t="s">
        <v>94</v>
      </c>
      <c r="B506" s="9" t="s">
        <v>150</v>
      </c>
      <c r="C506" s="74" t="s">
        <v>573</v>
      </c>
      <c r="D506" s="74" t="s">
        <v>537</v>
      </c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spans="1:24" ht="13.2" x14ac:dyDescent="0.25">
      <c r="A507" s="9" t="s">
        <v>94</v>
      </c>
      <c r="B507" s="9" t="s">
        <v>351</v>
      </c>
      <c r="C507" s="74" t="s">
        <v>315</v>
      </c>
      <c r="D507" s="74" t="s">
        <v>535</v>
      </c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spans="1:24" ht="13.2" x14ac:dyDescent="0.25">
      <c r="A508" s="9" t="s">
        <v>94</v>
      </c>
      <c r="B508" s="9" t="s">
        <v>152</v>
      </c>
      <c r="C508" s="74" t="s">
        <v>315</v>
      </c>
      <c r="D508" s="74" t="s">
        <v>535</v>
      </c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spans="1:24" ht="13.2" x14ac:dyDescent="0.25">
      <c r="A509" s="9" t="s">
        <v>94</v>
      </c>
      <c r="B509" s="9" t="s">
        <v>78</v>
      </c>
      <c r="C509" s="74" t="s">
        <v>574</v>
      </c>
      <c r="D509" s="74" t="s">
        <v>533</v>
      </c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spans="1:24" ht="13.2" x14ac:dyDescent="0.25">
      <c r="A510" s="9" t="s">
        <v>94</v>
      </c>
      <c r="B510" s="9" t="s">
        <v>80</v>
      </c>
      <c r="C510" s="74">
        <v>2030</v>
      </c>
      <c r="D510" s="74" t="s">
        <v>533</v>
      </c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spans="1:24" ht="13.2" x14ac:dyDescent="0.25">
      <c r="A511" s="9" t="s">
        <v>94</v>
      </c>
      <c r="B511" s="9" t="s">
        <v>82</v>
      </c>
      <c r="C511" s="74">
        <v>2030</v>
      </c>
      <c r="D511" s="74" t="s">
        <v>533</v>
      </c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spans="1:24" ht="13.2" x14ac:dyDescent="0.25">
      <c r="A512" s="9" t="s">
        <v>95</v>
      </c>
      <c r="B512" s="9" t="s">
        <v>2</v>
      </c>
      <c r="C512" s="74" t="s">
        <v>575</v>
      </c>
      <c r="D512" s="74" t="s">
        <v>533</v>
      </c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spans="1:24" ht="13.2" x14ac:dyDescent="0.25">
      <c r="A513" s="9" t="s">
        <v>95</v>
      </c>
      <c r="B513" s="9" t="s">
        <v>4</v>
      </c>
      <c r="C513" s="74" t="s">
        <v>576</v>
      </c>
      <c r="D513" s="74" t="s">
        <v>537</v>
      </c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spans="1:24" ht="13.2" x14ac:dyDescent="0.25">
      <c r="A514" s="9" t="s">
        <v>95</v>
      </c>
      <c r="B514" s="9" t="s">
        <v>6</v>
      </c>
      <c r="C514" s="74" t="s">
        <v>577</v>
      </c>
      <c r="D514" s="74" t="s">
        <v>537</v>
      </c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spans="1:24" ht="13.2" x14ac:dyDescent="0.25">
      <c r="A515" s="9" t="s">
        <v>95</v>
      </c>
      <c r="B515" s="9" t="s">
        <v>8</v>
      </c>
      <c r="C515" s="91">
        <v>1</v>
      </c>
      <c r="D515" s="74" t="s">
        <v>533</v>
      </c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spans="1:24" ht="13.2" x14ac:dyDescent="0.25">
      <c r="A516" s="9" t="s">
        <v>95</v>
      </c>
      <c r="B516" s="9" t="s">
        <v>10</v>
      </c>
      <c r="C516" s="74" t="s">
        <v>315</v>
      </c>
      <c r="D516" s="74" t="s">
        <v>535</v>
      </c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spans="1:24" ht="13.2" x14ac:dyDescent="0.25">
      <c r="A517" s="9" t="s">
        <v>95</v>
      </c>
      <c r="B517" s="9" t="s">
        <v>12</v>
      </c>
      <c r="C517" s="74" t="s">
        <v>315</v>
      </c>
      <c r="D517" s="74" t="s">
        <v>535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spans="1:24" ht="13.2" x14ac:dyDescent="0.25">
      <c r="A518" s="9" t="s">
        <v>95</v>
      </c>
      <c r="B518" s="9" t="s">
        <v>14</v>
      </c>
      <c r="C518" s="74" t="s">
        <v>578</v>
      </c>
      <c r="D518" s="74" t="s">
        <v>533</v>
      </c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spans="1:24" ht="13.2" x14ac:dyDescent="0.25">
      <c r="A519" s="9" t="s">
        <v>95</v>
      </c>
      <c r="B519" s="9" t="s">
        <v>16</v>
      </c>
      <c r="C519" s="74" t="s">
        <v>579</v>
      </c>
      <c r="D519" s="74" t="s">
        <v>533</v>
      </c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spans="1:24" ht="13.2" x14ac:dyDescent="0.25">
      <c r="A520" s="9" t="s">
        <v>95</v>
      </c>
      <c r="B520" s="9" t="s">
        <v>18</v>
      </c>
      <c r="C520" s="74" t="s">
        <v>580</v>
      </c>
      <c r="D520" s="74" t="s">
        <v>535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spans="1:24" ht="13.2" x14ac:dyDescent="0.25">
      <c r="A521" s="9" t="s">
        <v>95</v>
      </c>
      <c r="B521" s="9" t="s">
        <v>20</v>
      </c>
      <c r="C521" s="74" t="s">
        <v>512</v>
      </c>
      <c r="D521" s="74" t="s">
        <v>535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spans="1:24" ht="13.2" x14ac:dyDescent="0.25">
      <c r="A522" s="9" t="s">
        <v>95</v>
      </c>
      <c r="B522" s="9" t="s">
        <v>22</v>
      </c>
      <c r="C522" s="74" t="s">
        <v>581</v>
      </c>
      <c r="D522" s="74" t="s">
        <v>537</v>
      </c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spans="1:24" ht="13.2" x14ac:dyDescent="0.25">
      <c r="A523" s="9" t="s">
        <v>95</v>
      </c>
      <c r="B523" s="9" t="s">
        <v>24</v>
      </c>
      <c r="C523" s="74" t="s">
        <v>382</v>
      </c>
      <c r="D523" s="74" t="s">
        <v>535</v>
      </c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spans="1:24" ht="13.2" x14ac:dyDescent="0.25">
      <c r="A524" s="9" t="s">
        <v>95</v>
      </c>
      <c r="B524" s="9" t="s">
        <v>26</v>
      </c>
      <c r="C524" s="74" t="s">
        <v>582</v>
      </c>
      <c r="D524" s="74" t="s">
        <v>533</v>
      </c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spans="1:24" ht="13.2" x14ac:dyDescent="0.25">
      <c r="A525" s="9" t="s">
        <v>95</v>
      </c>
      <c r="B525" s="9" t="s">
        <v>28</v>
      </c>
      <c r="C525" s="74" t="s">
        <v>315</v>
      </c>
      <c r="D525" s="74" t="s">
        <v>535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spans="1:24" ht="13.2" x14ac:dyDescent="0.25">
      <c r="A526" s="9" t="s">
        <v>95</v>
      </c>
      <c r="B526" s="9" t="s">
        <v>30</v>
      </c>
      <c r="C526" s="74" t="s">
        <v>583</v>
      </c>
      <c r="D526" s="74" t="s">
        <v>535</v>
      </c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spans="1:24" ht="13.2" x14ac:dyDescent="0.25">
      <c r="A527" s="9" t="s">
        <v>95</v>
      </c>
      <c r="B527" s="9" t="s">
        <v>32</v>
      </c>
      <c r="C527" s="74" t="s">
        <v>584</v>
      </c>
      <c r="D527" s="74" t="s">
        <v>533</v>
      </c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spans="1:24" ht="13.2" x14ac:dyDescent="0.25">
      <c r="A528" s="9" t="s">
        <v>95</v>
      </c>
      <c r="B528" s="9" t="s">
        <v>34</v>
      </c>
      <c r="C528" s="74" t="s">
        <v>585</v>
      </c>
      <c r="D528" s="74" t="s">
        <v>533</v>
      </c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spans="1:24" ht="13.2" x14ac:dyDescent="0.25">
      <c r="A529" s="9" t="s">
        <v>95</v>
      </c>
      <c r="B529" s="9" t="s">
        <v>36</v>
      </c>
      <c r="C529" s="74" t="s">
        <v>315</v>
      </c>
      <c r="D529" s="74" t="s">
        <v>535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spans="1:24" ht="13.2" x14ac:dyDescent="0.25">
      <c r="A530" s="9" t="s">
        <v>95</v>
      </c>
      <c r="B530" s="9" t="s">
        <v>38</v>
      </c>
      <c r="C530" s="74" t="s">
        <v>315</v>
      </c>
      <c r="D530" s="74" t="s">
        <v>535</v>
      </c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spans="1:24" ht="13.2" x14ac:dyDescent="0.25">
      <c r="A531" s="9" t="s">
        <v>95</v>
      </c>
      <c r="B531" s="9" t="s">
        <v>40</v>
      </c>
      <c r="C531" s="74" t="s">
        <v>586</v>
      </c>
      <c r="D531" s="74" t="s">
        <v>537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spans="1:24" ht="13.2" x14ac:dyDescent="0.25">
      <c r="A532" s="9" t="s">
        <v>95</v>
      </c>
      <c r="B532" s="9" t="s">
        <v>42</v>
      </c>
      <c r="C532" s="74" t="s">
        <v>587</v>
      </c>
      <c r="D532" s="74" t="s">
        <v>533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spans="1:24" ht="13.2" x14ac:dyDescent="0.25">
      <c r="A533" s="9" t="s">
        <v>95</v>
      </c>
      <c r="B533" s="9" t="s">
        <v>44</v>
      </c>
      <c r="C533" s="74" t="s">
        <v>315</v>
      </c>
      <c r="D533" s="74" t="s">
        <v>535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spans="1:24" ht="13.2" x14ac:dyDescent="0.25">
      <c r="A534" s="9" t="s">
        <v>95</v>
      </c>
      <c r="B534" s="9" t="s">
        <v>46</v>
      </c>
      <c r="C534" s="74" t="s">
        <v>588</v>
      </c>
      <c r="D534" s="74" t="s">
        <v>533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spans="1:24" ht="13.2" x14ac:dyDescent="0.25">
      <c r="A535" s="9" t="s">
        <v>95</v>
      </c>
      <c r="B535" s="9" t="s">
        <v>48</v>
      </c>
      <c r="C535" s="74" t="s">
        <v>589</v>
      </c>
      <c r="D535" s="74" t="s">
        <v>533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spans="1:24" ht="13.2" x14ac:dyDescent="0.25">
      <c r="A536" s="9" t="s">
        <v>95</v>
      </c>
      <c r="B536" s="9" t="s">
        <v>124</v>
      </c>
      <c r="C536" s="74" t="s">
        <v>590</v>
      </c>
      <c r="D536" s="74" t="s">
        <v>537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spans="1:24" ht="13.2" x14ac:dyDescent="0.25">
      <c r="A537" s="9" t="s">
        <v>95</v>
      </c>
      <c r="B537" s="9" t="s">
        <v>126</v>
      </c>
      <c r="C537" s="74" t="s">
        <v>591</v>
      </c>
      <c r="D537" s="74" t="s">
        <v>535</v>
      </c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spans="1:24" ht="13.2" x14ac:dyDescent="0.25">
      <c r="A538" s="9" t="s">
        <v>95</v>
      </c>
      <c r="B538" s="9" t="s">
        <v>130</v>
      </c>
      <c r="C538" s="74" t="s">
        <v>315</v>
      </c>
      <c r="D538" s="74" t="s">
        <v>535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spans="1:24" ht="13.2" x14ac:dyDescent="0.25">
      <c r="A539" s="9" t="s">
        <v>95</v>
      </c>
      <c r="B539" s="9" t="s">
        <v>131</v>
      </c>
      <c r="C539" s="74" t="s">
        <v>592</v>
      </c>
      <c r="D539" s="74" t="s">
        <v>537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spans="1:24" ht="13.2" x14ac:dyDescent="0.25">
      <c r="A540" s="9" t="s">
        <v>95</v>
      </c>
      <c r="B540" s="9" t="s">
        <v>132</v>
      </c>
      <c r="C540" s="74" t="s">
        <v>315</v>
      </c>
      <c r="D540" s="74" t="s">
        <v>535</v>
      </c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spans="1:24" ht="13.2" x14ac:dyDescent="0.25">
      <c r="A541" s="9" t="s">
        <v>95</v>
      </c>
      <c r="B541" s="9" t="s">
        <v>50</v>
      </c>
      <c r="C541" s="74" t="s">
        <v>593</v>
      </c>
      <c r="D541" s="74" t="s">
        <v>533</v>
      </c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spans="1:24" ht="13.2" x14ac:dyDescent="0.25">
      <c r="A542" s="9" t="s">
        <v>95</v>
      </c>
      <c r="B542" s="9" t="s">
        <v>52</v>
      </c>
      <c r="C542" s="74" t="s">
        <v>594</v>
      </c>
      <c r="D542" s="74" t="s">
        <v>533</v>
      </c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spans="1:24" ht="13.2" x14ac:dyDescent="0.25">
      <c r="A543" s="9" t="s">
        <v>95</v>
      </c>
      <c r="B543" s="9" t="s">
        <v>54</v>
      </c>
      <c r="C543" s="74" t="s">
        <v>595</v>
      </c>
      <c r="D543" s="74" t="s">
        <v>533</v>
      </c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spans="1:24" ht="13.2" x14ac:dyDescent="0.25">
      <c r="A544" s="9" t="s">
        <v>95</v>
      </c>
      <c r="B544" s="9" t="s">
        <v>134</v>
      </c>
      <c r="C544" s="74" t="s">
        <v>443</v>
      </c>
      <c r="D544" s="74" t="s">
        <v>537</v>
      </c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spans="1:24" ht="13.2" x14ac:dyDescent="0.25">
      <c r="A545" s="9" t="s">
        <v>95</v>
      </c>
      <c r="B545" s="9" t="s">
        <v>135</v>
      </c>
      <c r="C545" s="74" t="s">
        <v>443</v>
      </c>
      <c r="D545" s="74" t="s">
        <v>537</v>
      </c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spans="1:24" ht="13.2" x14ac:dyDescent="0.25">
      <c r="A546" s="9" t="s">
        <v>95</v>
      </c>
      <c r="B546" s="9" t="s">
        <v>136</v>
      </c>
      <c r="C546" s="74" t="s">
        <v>443</v>
      </c>
      <c r="D546" s="74" t="s">
        <v>537</v>
      </c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spans="1:24" ht="13.2" x14ac:dyDescent="0.25">
      <c r="A547" s="9" t="s">
        <v>95</v>
      </c>
      <c r="B547" s="9" t="s">
        <v>56</v>
      </c>
      <c r="C547" s="74" t="s">
        <v>596</v>
      </c>
      <c r="D547" s="74" t="s">
        <v>533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spans="1:24" ht="13.2" x14ac:dyDescent="0.25">
      <c r="A548" s="9" t="s">
        <v>95</v>
      </c>
      <c r="B548" s="9" t="s">
        <v>337</v>
      </c>
      <c r="C548" s="74" t="s">
        <v>597</v>
      </c>
      <c r="D548" s="74" t="s">
        <v>537</v>
      </c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spans="1:24" ht="13.2" x14ac:dyDescent="0.25">
      <c r="A549" s="9" t="s">
        <v>95</v>
      </c>
      <c r="B549" s="9" t="s">
        <v>470</v>
      </c>
      <c r="C549" s="74" t="s">
        <v>315</v>
      </c>
      <c r="D549" s="74" t="s">
        <v>535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spans="1:24" ht="13.2" x14ac:dyDescent="0.25">
      <c r="A550" s="9" t="s">
        <v>95</v>
      </c>
      <c r="B550" s="9" t="s">
        <v>472</v>
      </c>
      <c r="C550" s="74" t="s">
        <v>356</v>
      </c>
      <c r="D550" s="74" t="s">
        <v>535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spans="1:24" ht="13.2" x14ac:dyDescent="0.25">
      <c r="A551" s="9" t="s">
        <v>95</v>
      </c>
      <c r="B551" s="9" t="s">
        <v>66</v>
      </c>
      <c r="C551" s="74" t="s">
        <v>598</v>
      </c>
      <c r="D551" s="74" t="s">
        <v>533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spans="1:24" ht="13.2" x14ac:dyDescent="0.25">
      <c r="A552" s="9" t="s">
        <v>95</v>
      </c>
      <c r="B552" s="9" t="s">
        <v>68</v>
      </c>
      <c r="C552" s="91">
        <v>0.3</v>
      </c>
      <c r="D552" s="74" t="s">
        <v>533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spans="1:24" ht="13.2" x14ac:dyDescent="0.25">
      <c r="A553" s="9" t="s">
        <v>95</v>
      </c>
      <c r="B553" s="9" t="s">
        <v>341</v>
      </c>
      <c r="C553" s="74" t="s">
        <v>315</v>
      </c>
      <c r="D553" s="74" t="s">
        <v>535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spans="1:24" ht="13.2" x14ac:dyDescent="0.25">
      <c r="A554" s="9" t="s">
        <v>95</v>
      </c>
      <c r="B554" s="9" t="s">
        <v>72</v>
      </c>
      <c r="C554" s="74" t="s">
        <v>315</v>
      </c>
      <c r="D554" s="74" t="s">
        <v>535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spans="1:24" ht="13.2" x14ac:dyDescent="0.25">
      <c r="A555" s="9" t="s">
        <v>95</v>
      </c>
      <c r="B555" s="9" t="s">
        <v>342</v>
      </c>
      <c r="C555" s="74" t="s">
        <v>599</v>
      </c>
      <c r="D555" s="74" t="s">
        <v>533</v>
      </c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spans="1:24" ht="13.2" x14ac:dyDescent="0.25">
      <c r="A556" s="9" t="s">
        <v>95</v>
      </c>
      <c r="B556" s="9" t="s">
        <v>343</v>
      </c>
      <c r="C556" s="74" t="s">
        <v>315</v>
      </c>
      <c r="D556" s="74" t="s">
        <v>535</v>
      </c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spans="1:24" ht="13.2" x14ac:dyDescent="0.25">
      <c r="A557" s="9" t="s">
        <v>95</v>
      </c>
      <c r="B557" s="9" t="s">
        <v>344</v>
      </c>
      <c r="C557" s="74" t="s">
        <v>315</v>
      </c>
      <c r="D557" s="74" t="s">
        <v>535</v>
      </c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spans="1:24" ht="13.2" x14ac:dyDescent="0.25">
      <c r="A558" s="9" t="s">
        <v>95</v>
      </c>
      <c r="B558" s="9" t="s">
        <v>345</v>
      </c>
      <c r="C558" s="74" t="s">
        <v>315</v>
      </c>
      <c r="D558" s="74" t="s">
        <v>535</v>
      </c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spans="1:24" ht="13.2" x14ac:dyDescent="0.25">
      <c r="A559" s="9" t="s">
        <v>95</v>
      </c>
      <c r="B559" s="9" t="s">
        <v>346</v>
      </c>
      <c r="C559" s="74" t="s">
        <v>315</v>
      </c>
      <c r="D559" s="74" t="s">
        <v>535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spans="1:24" ht="13.2" x14ac:dyDescent="0.25">
      <c r="A560" s="9" t="s">
        <v>95</v>
      </c>
      <c r="B560" s="9" t="s">
        <v>347</v>
      </c>
      <c r="C560" s="74" t="s">
        <v>600</v>
      </c>
      <c r="D560" s="74" t="s">
        <v>535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spans="1:24" ht="13.2" x14ac:dyDescent="0.25">
      <c r="A561" s="9" t="s">
        <v>95</v>
      </c>
      <c r="B561" s="9" t="s">
        <v>348</v>
      </c>
      <c r="C561" s="74" t="s">
        <v>315</v>
      </c>
      <c r="D561" s="74" t="s">
        <v>535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spans="1:24" ht="13.2" x14ac:dyDescent="0.25">
      <c r="A562" s="9" t="s">
        <v>95</v>
      </c>
      <c r="B562" s="9" t="s">
        <v>349</v>
      </c>
      <c r="C562" s="91">
        <v>0.5</v>
      </c>
      <c r="D562" s="74" t="s">
        <v>533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spans="1:24" ht="13.2" x14ac:dyDescent="0.25">
      <c r="A563" s="9" t="s">
        <v>95</v>
      </c>
      <c r="B563" s="9" t="s">
        <v>150</v>
      </c>
      <c r="C563" s="74" t="s">
        <v>601</v>
      </c>
      <c r="D563" s="74" t="s">
        <v>535</v>
      </c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spans="1:24" ht="13.2" x14ac:dyDescent="0.25">
      <c r="A564" s="9" t="s">
        <v>95</v>
      </c>
      <c r="B564" s="9" t="s">
        <v>351</v>
      </c>
      <c r="C564" s="74" t="s">
        <v>315</v>
      </c>
      <c r="D564" s="74" t="s">
        <v>535</v>
      </c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spans="1:24" ht="13.2" x14ac:dyDescent="0.25">
      <c r="A565" s="9" t="s">
        <v>95</v>
      </c>
      <c r="B565" s="9" t="s">
        <v>152</v>
      </c>
      <c r="C565" s="74" t="s">
        <v>315</v>
      </c>
      <c r="D565" s="74" t="s">
        <v>535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spans="1:24" ht="13.2" x14ac:dyDescent="0.25">
      <c r="A566" s="9" t="s">
        <v>95</v>
      </c>
      <c r="B566" s="9" t="s">
        <v>78</v>
      </c>
      <c r="C566" s="74">
        <v>2024</v>
      </c>
      <c r="D566" s="74" t="s">
        <v>533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spans="1:24" ht="13.2" x14ac:dyDescent="0.25">
      <c r="A567" s="9" t="s">
        <v>95</v>
      </c>
      <c r="B567" s="9" t="s">
        <v>80</v>
      </c>
      <c r="C567" s="74">
        <v>2030</v>
      </c>
      <c r="D567" s="74" t="s">
        <v>533</v>
      </c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spans="1:24" ht="13.2" x14ac:dyDescent="0.25">
      <c r="A568" s="9" t="s">
        <v>95</v>
      </c>
      <c r="B568" s="9" t="s">
        <v>82</v>
      </c>
      <c r="C568" s="74">
        <v>2030</v>
      </c>
      <c r="D568" s="74" t="s">
        <v>533</v>
      </c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spans="1:24" ht="13.2" x14ac:dyDescent="0.25">
      <c r="A569" s="9" t="s">
        <v>96</v>
      </c>
      <c r="B569" s="9" t="s">
        <v>2</v>
      </c>
      <c r="C569" s="74" t="s">
        <v>602</v>
      </c>
      <c r="D569" s="74" t="s">
        <v>603</v>
      </c>
      <c r="E569" s="9" t="s">
        <v>604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spans="1:24" ht="13.2" x14ac:dyDescent="0.25">
      <c r="A570" s="9" t="s">
        <v>96</v>
      </c>
      <c r="B570" s="9" t="s">
        <v>4</v>
      </c>
      <c r="C570" s="74" t="s">
        <v>605</v>
      </c>
      <c r="D570" s="74" t="s">
        <v>606</v>
      </c>
      <c r="E570" s="9" t="s">
        <v>607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spans="1:24" ht="13.2" x14ac:dyDescent="0.25">
      <c r="A571" s="9" t="s">
        <v>96</v>
      </c>
      <c r="B571" s="9" t="s">
        <v>6</v>
      </c>
      <c r="C571" s="74" t="s">
        <v>605</v>
      </c>
      <c r="D571" s="74" t="s">
        <v>606</v>
      </c>
      <c r="E571" s="9" t="s">
        <v>608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spans="1:24" ht="13.2" x14ac:dyDescent="0.25">
      <c r="A572" s="9" t="s">
        <v>96</v>
      </c>
      <c r="B572" s="9" t="s">
        <v>8</v>
      </c>
      <c r="C572" s="74" t="s">
        <v>609</v>
      </c>
      <c r="D572" s="74" t="s">
        <v>603</v>
      </c>
      <c r="E572" s="9" t="s">
        <v>610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spans="1:24" ht="13.2" x14ac:dyDescent="0.25">
      <c r="A573" s="9" t="s">
        <v>96</v>
      </c>
      <c r="B573" s="9" t="s">
        <v>10</v>
      </c>
      <c r="C573" s="74" t="s">
        <v>605</v>
      </c>
      <c r="D573" s="74" t="s">
        <v>606</v>
      </c>
      <c r="E573" s="9" t="s">
        <v>611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spans="1:24" ht="13.2" x14ac:dyDescent="0.25">
      <c r="A574" s="9" t="s">
        <v>96</v>
      </c>
      <c r="B574" s="9" t="s">
        <v>12</v>
      </c>
      <c r="C574" s="74" t="s">
        <v>605</v>
      </c>
      <c r="D574" s="74" t="s">
        <v>606</v>
      </c>
      <c r="E574" s="9" t="s">
        <v>611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spans="1:24" ht="13.2" x14ac:dyDescent="0.25">
      <c r="A575" s="9" t="s">
        <v>96</v>
      </c>
      <c r="B575" s="9" t="s">
        <v>14</v>
      </c>
      <c r="C575" s="74" t="s">
        <v>612</v>
      </c>
      <c r="D575" s="74" t="s">
        <v>603</v>
      </c>
      <c r="E575" s="9" t="s">
        <v>613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spans="1:24" ht="13.2" x14ac:dyDescent="0.25">
      <c r="A576" s="9" t="s">
        <v>96</v>
      </c>
      <c r="B576" s="9" t="s">
        <v>16</v>
      </c>
      <c r="C576" s="74" t="s">
        <v>614</v>
      </c>
      <c r="D576" s="74" t="s">
        <v>603</v>
      </c>
      <c r="E576" s="9" t="s">
        <v>615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spans="1:24" ht="13.2" x14ac:dyDescent="0.25">
      <c r="A577" s="9" t="s">
        <v>96</v>
      </c>
      <c r="B577" s="9" t="s">
        <v>18</v>
      </c>
      <c r="C577" s="74" t="s">
        <v>616</v>
      </c>
      <c r="D577" s="74" t="s">
        <v>603</v>
      </c>
      <c r="E577" s="9" t="s">
        <v>617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spans="1:24" ht="13.2" x14ac:dyDescent="0.25">
      <c r="A578" s="9" t="s">
        <v>96</v>
      </c>
      <c r="B578" s="9" t="s">
        <v>20</v>
      </c>
      <c r="C578" s="74" t="s">
        <v>605</v>
      </c>
      <c r="D578" s="74" t="s">
        <v>606</v>
      </c>
      <c r="E578" s="9" t="s">
        <v>618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spans="1:24" ht="13.2" x14ac:dyDescent="0.25">
      <c r="A579" s="9" t="s">
        <v>96</v>
      </c>
      <c r="B579" s="9" t="s">
        <v>22</v>
      </c>
      <c r="C579" s="74" t="s">
        <v>619</v>
      </c>
      <c r="D579" s="74" t="s">
        <v>620</v>
      </c>
      <c r="E579" s="9" t="s">
        <v>621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spans="1:24" ht="13.2" x14ac:dyDescent="0.25">
      <c r="A580" s="9" t="s">
        <v>96</v>
      </c>
      <c r="B580" s="9" t="s">
        <v>24</v>
      </c>
      <c r="C580" s="74" t="s">
        <v>605</v>
      </c>
      <c r="D580" s="74" t="s">
        <v>606</v>
      </c>
      <c r="E580" s="9" t="s">
        <v>622</v>
      </c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spans="1:24" ht="13.2" x14ac:dyDescent="0.25">
      <c r="A581" s="9" t="s">
        <v>96</v>
      </c>
      <c r="B581" s="9" t="s">
        <v>26</v>
      </c>
      <c r="C581" s="74" t="s">
        <v>623</v>
      </c>
      <c r="D581" s="74" t="s">
        <v>603</v>
      </c>
      <c r="E581" s="9" t="s">
        <v>624</v>
      </c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spans="1:24" ht="13.2" x14ac:dyDescent="0.25">
      <c r="A582" s="9" t="s">
        <v>96</v>
      </c>
      <c r="B582" s="9" t="s">
        <v>28</v>
      </c>
      <c r="C582" s="74" t="s">
        <v>625</v>
      </c>
      <c r="D582" s="74" t="s">
        <v>603</v>
      </c>
      <c r="E582" s="9" t="s">
        <v>626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spans="1:24" ht="13.2" x14ac:dyDescent="0.25">
      <c r="A583" s="9" t="s">
        <v>96</v>
      </c>
      <c r="B583" s="9" t="s">
        <v>30</v>
      </c>
      <c r="C583" s="74" t="s">
        <v>627</v>
      </c>
      <c r="D583" s="74" t="s">
        <v>603</v>
      </c>
      <c r="E583" s="9" t="s">
        <v>628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spans="1:24" ht="13.2" x14ac:dyDescent="0.25">
      <c r="A584" s="9" t="s">
        <v>96</v>
      </c>
      <c r="B584" s="9" t="s">
        <v>32</v>
      </c>
      <c r="C584" s="74" t="s">
        <v>605</v>
      </c>
      <c r="D584" s="74" t="s">
        <v>606</v>
      </c>
      <c r="E584" s="9" t="s">
        <v>629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spans="1:24" ht="13.2" x14ac:dyDescent="0.25">
      <c r="A585" s="9" t="s">
        <v>96</v>
      </c>
      <c r="B585" s="9" t="s">
        <v>34</v>
      </c>
      <c r="C585" s="74" t="s">
        <v>605</v>
      </c>
      <c r="D585" s="74" t="s">
        <v>606</v>
      </c>
      <c r="E585" s="9" t="s">
        <v>630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spans="1:24" ht="13.2" x14ac:dyDescent="0.25">
      <c r="A586" s="9" t="s">
        <v>96</v>
      </c>
      <c r="B586" s="9" t="s">
        <v>36</v>
      </c>
      <c r="C586" s="74" t="s">
        <v>605</v>
      </c>
      <c r="D586" s="74" t="s">
        <v>606</v>
      </c>
      <c r="E586" s="9" t="s">
        <v>631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spans="1:24" ht="13.2" x14ac:dyDescent="0.25">
      <c r="A587" s="9" t="s">
        <v>96</v>
      </c>
      <c r="B587" s="9" t="s">
        <v>38</v>
      </c>
      <c r="C587" s="74" t="s">
        <v>605</v>
      </c>
      <c r="D587" s="74" t="s">
        <v>606</v>
      </c>
      <c r="E587" s="9" t="s">
        <v>611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spans="1:24" ht="13.2" x14ac:dyDescent="0.25">
      <c r="A588" s="9" t="s">
        <v>96</v>
      </c>
      <c r="B588" s="9" t="s">
        <v>40</v>
      </c>
      <c r="C588" s="74" t="s">
        <v>632</v>
      </c>
      <c r="D588" s="74" t="s">
        <v>603</v>
      </c>
      <c r="E588" s="9" t="s">
        <v>633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spans="1:24" ht="13.2" x14ac:dyDescent="0.25">
      <c r="A589" s="9" t="s">
        <v>96</v>
      </c>
      <c r="B589" s="9" t="s">
        <v>42</v>
      </c>
      <c r="C589" s="74" t="s">
        <v>605</v>
      </c>
      <c r="D589" s="74" t="s">
        <v>634</v>
      </c>
      <c r="E589" s="9" t="s">
        <v>635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spans="1:24" ht="13.2" x14ac:dyDescent="0.25">
      <c r="A590" s="9" t="s">
        <v>96</v>
      </c>
      <c r="B590" s="9" t="s">
        <v>44</v>
      </c>
      <c r="C590" s="74" t="s">
        <v>605</v>
      </c>
      <c r="D590" s="74" t="s">
        <v>606</v>
      </c>
      <c r="E590" s="9" t="s">
        <v>636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spans="1:24" ht="13.2" x14ac:dyDescent="0.25">
      <c r="A591" s="9" t="s">
        <v>96</v>
      </c>
      <c r="B591" s="9" t="s">
        <v>46</v>
      </c>
      <c r="C591" s="74" t="s">
        <v>637</v>
      </c>
      <c r="D591" s="74" t="s">
        <v>638</v>
      </c>
      <c r="E591" s="9" t="s">
        <v>639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spans="1:24" ht="13.2" x14ac:dyDescent="0.25">
      <c r="A592" s="9" t="s">
        <v>96</v>
      </c>
      <c r="B592" s="9" t="s">
        <v>48</v>
      </c>
      <c r="C592" s="74" t="s">
        <v>640</v>
      </c>
      <c r="D592" s="74" t="s">
        <v>603</v>
      </c>
      <c r="E592" s="9" t="s">
        <v>641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spans="1:24" ht="13.2" x14ac:dyDescent="0.25">
      <c r="A593" s="9" t="s">
        <v>96</v>
      </c>
      <c r="B593" s="9" t="s">
        <v>124</v>
      </c>
      <c r="C593" s="74" t="s">
        <v>642</v>
      </c>
      <c r="D593" s="74" t="s">
        <v>643</v>
      </c>
      <c r="E593" s="9" t="s">
        <v>644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spans="1:24" ht="13.2" x14ac:dyDescent="0.25">
      <c r="A594" s="9" t="s">
        <v>96</v>
      </c>
      <c r="B594" s="9" t="s">
        <v>126</v>
      </c>
      <c r="C594" s="74" t="s">
        <v>605</v>
      </c>
      <c r="D594" s="74" t="s">
        <v>634</v>
      </c>
      <c r="E594" s="9" t="s">
        <v>645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spans="1:24" ht="13.2" x14ac:dyDescent="0.25">
      <c r="A595" s="9" t="s">
        <v>96</v>
      </c>
      <c r="B595" s="9" t="s">
        <v>130</v>
      </c>
      <c r="C595" s="74" t="s">
        <v>646</v>
      </c>
      <c r="D595" s="74" t="s">
        <v>603</v>
      </c>
      <c r="E595" s="9" t="s">
        <v>647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spans="1:24" ht="13.2" x14ac:dyDescent="0.25">
      <c r="A596" s="9" t="s">
        <v>96</v>
      </c>
      <c r="B596" s="9" t="s">
        <v>131</v>
      </c>
      <c r="C596" s="74" t="s">
        <v>605</v>
      </c>
      <c r="D596" s="74" t="s">
        <v>606</v>
      </c>
      <c r="E596" s="9" t="s">
        <v>648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spans="1:24" ht="13.2" x14ac:dyDescent="0.25">
      <c r="A597" s="9" t="s">
        <v>96</v>
      </c>
      <c r="B597" s="9" t="s">
        <v>132</v>
      </c>
      <c r="C597" s="74" t="s">
        <v>649</v>
      </c>
      <c r="D597" s="74" t="s">
        <v>603</v>
      </c>
      <c r="E597" s="9" t="s">
        <v>650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spans="1:24" ht="13.2" x14ac:dyDescent="0.25">
      <c r="A598" s="9" t="s">
        <v>96</v>
      </c>
      <c r="B598" s="9" t="s">
        <v>50</v>
      </c>
      <c r="C598" s="74" t="s">
        <v>651</v>
      </c>
      <c r="D598" s="74" t="s">
        <v>603</v>
      </c>
      <c r="E598" s="9" t="s">
        <v>652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spans="1:24" ht="13.2" x14ac:dyDescent="0.25">
      <c r="A599" s="9" t="s">
        <v>96</v>
      </c>
      <c r="B599" s="9" t="s">
        <v>52</v>
      </c>
      <c r="C599" s="74" t="s">
        <v>653</v>
      </c>
      <c r="D599" s="74" t="s">
        <v>603</v>
      </c>
      <c r="E599" s="9" t="s">
        <v>654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spans="1:24" ht="13.2" x14ac:dyDescent="0.25">
      <c r="A600" s="9" t="s">
        <v>96</v>
      </c>
      <c r="B600" s="9" t="s">
        <v>54</v>
      </c>
      <c r="C600" s="74" t="s">
        <v>655</v>
      </c>
      <c r="D600" s="74" t="s">
        <v>603</v>
      </c>
      <c r="E600" s="9" t="s">
        <v>656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spans="1:24" ht="13.2" x14ac:dyDescent="0.25">
      <c r="A601" s="9" t="s">
        <v>96</v>
      </c>
      <c r="B601" s="9" t="s">
        <v>134</v>
      </c>
      <c r="C601" s="74" t="s">
        <v>657</v>
      </c>
      <c r="D601" s="74" t="s">
        <v>658</v>
      </c>
      <c r="E601" s="9" t="s">
        <v>659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spans="1:24" ht="13.2" x14ac:dyDescent="0.25">
      <c r="A602" s="9" t="s">
        <v>96</v>
      </c>
      <c r="B602" s="9" t="s">
        <v>135</v>
      </c>
      <c r="C602" s="74" t="s">
        <v>660</v>
      </c>
      <c r="D602" s="74" t="s">
        <v>658</v>
      </c>
      <c r="E602" s="9" t="s">
        <v>659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spans="1:24" ht="13.2" x14ac:dyDescent="0.25">
      <c r="A603" s="9" t="s">
        <v>96</v>
      </c>
      <c r="B603" s="9" t="s">
        <v>136</v>
      </c>
      <c r="C603" s="74" t="s">
        <v>605</v>
      </c>
      <c r="D603" s="74" t="s">
        <v>634</v>
      </c>
      <c r="E603" s="9" t="s">
        <v>661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spans="1:24" ht="13.2" x14ac:dyDescent="0.25">
      <c r="A604" s="9" t="s">
        <v>96</v>
      </c>
      <c r="B604" s="9" t="s">
        <v>56</v>
      </c>
      <c r="C604" s="74" t="s">
        <v>605</v>
      </c>
      <c r="D604" s="74" t="s">
        <v>606</v>
      </c>
      <c r="E604" s="9" t="s">
        <v>662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spans="1:24" ht="13.2" x14ac:dyDescent="0.25">
      <c r="A605" s="9" t="s">
        <v>96</v>
      </c>
      <c r="B605" s="9" t="s">
        <v>337</v>
      </c>
      <c r="C605" s="74" t="s">
        <v>605</v>
      </c>
      <c r="D605" s="74" t="s">
        <v>634</v>
      </c>
      <c r="E605" s="9" t="s">
        <v>663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spans="1:24" ht="13.2" x14ac:dyDescent="0.25">
      <c r="A606" s="9" t="s">
        <v>96</v>
      </c>
      <c r="B606" s="9" t="s">
        <v>339</v>
      </c>
      <c r="C606" s="74" t="s">
        <v>664</v>
      </c>
      <c r="D606" s="74" t="s">
        <v>603</v>
      </c>
      <c r="E606" s="9" t="s">
        <v>665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spans="1:24" ht="13.2" x14ac:dyDescent="0.25">
      <c r="A607" s="9" t="s">
        <v>96</v>
      </c>
      <c r="B607" s="9" t="s">
        <v>66</v>
      </c>
      <c r="C607" s="74" t="s">
        <v>666</v>
      </c>
      <c r="D607" s="74" t="s">
        <v>603</v>
      </c>
      <c r="E607" s="9" t="s">
        <v>667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spans="1:24" ht="13.2" x14ac:dyDescent="0.25">
      <c r="A608" s="9" t="s">
        <v>96</v>
      </c>
      <c r="B608" s="9" t="s">
        <v>68</v>
      </c>
      <c r="C608" s="91">
        <v>0.1</v>
      </c>
      <c r="D608" s="74" t="s">
        <v>603</v>
      </c>
      <c r="E608" s="9" t="s">
        <v>668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spans="1:24" ht="13.2" x14ac:dyDescent="0.25">
      <c r="A609" s="9" t="s">
        <v>96</v>
      </c>
      <c r="B609" s="9" t="s">
        <v>70</v>
      </c>
      <c r="C609" s="74" t="s">
        <v>605</v>
      </c>
      <c r="D609" s="74" t="s">
        <v>606</v>
      </c>
      <c r="E609" s="9" t="s">
        <v>611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spans="1:24" ht="13.2" x14ac:dyDescent="0.25">
      <c r="A610" s="9" t="s">
        <v>96</v>
      </c>
      <c r="B610" s="9" t="s">
        <v>72</v>
      </c>
      <c r="C610" s="74" t="s">
        <v>605</v>
      </c>
      <c r="D610" s="74" t="s">
        <v>634</v>
      </c>
      <c r="E610" s="9" t="s">
        <v>669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spans="1:24" ht="13.2" x14ac:dyDescent="0.25">
      <c r="A611" s="9" t="s">
        <v>96</v>
      </c>
      <c r="B611" s="9" t="s">
        <v>74</v>
      </c>
      <c r="C611" s="90">
        <v>0.36899999999999999</v>
      </c>
      <c r="D611" s="74" t="s">
        <v>603</v>
      </c>
      <c r="E611" s="9" t="s">
        <v>670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spans="1:24" ht="13.2" x14ac:dyDescent="0.25">
      <c r="A612" s="9" t="s">
        <v>96</v>
      </c>
      <c r="B612" s="9" t="s">
        <v>142</v>
      </c>
      <c r="C612" s="74" t="s">
        <v>605</v>
      </c>
      <c r="D612" s="74" t="s">
        <v>606</v>
      </c>
      <c r="E612" s="9" t="s">
        <v>671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spans="1:24" ht="13.2" x14ac:dyDescent="0.25">
      <c r="A613" s="9" t="s">
        <v>96</v>
      </c>
      <c r="B613" s="9" t="s">
        <v>143</v>
      </c>
      <c r="C613" s="74" t="s">
        <v>605</v>
      </c>
      <c r="D613" s="74" t="s">
        <v>606</v>
      </c>
      <c r="E613" s="9" t="s">
        <v>672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spans="1:24" ht="13.2" x14ac:dyDescent="0.25">
      <c r="A614" s="9" t="s">
        <v>96</v>
      </c>
      <c r="B614" s="9" t="s">
        <v>144</v>
      </c>
      <c r="C614" s="74" t="s">
        <v>605</v>
      </c>
      <c r="D614" s="74" t="s">
        <v>634</v>
      </c>
      <c r="E614" s="9" t="s">
        <v>673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spans="1:24" ht="13.2" x14ac:dyDescent="0.25">
      <c r="A615" s="9" t="s">
        <v>96</v>
      </c>
      <c r="B615" s="9" t="s">
        <v>145</v>
      </c>
      <c r="C615" s="74" t="s">
        <v>605</v>
      </c>
      <c r="D615" s="74" t="s">
        <v>606</v>
      </c>
      <c r="E615" s="9" t="s">
        <v>611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spans="1:24" ht="13.2" x14ac:dyDescent="0.25">
      <c r="A616" s="9" t="s">
        <v>96</v>
      </c>
      <c r="B616" s="9" t="s">
        <v>146</v>
      </c>
      <c r="C616" s="74" t="s">
        <v>674</v>
      </c>
      <c r="D616" s="74" t="s">
        <v>675</v>
      </c>
      <c r="E616" s="9" t="s">
        <v>676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spans="1:24" ht="13.2" x14ac:dyDescent="0.25">
      <c r="A617" s="9" t="s">
        <v>96</v>
      </c>
      <c r="B617" s="9" t="s">
        <v>147</v>
      </c>
      <c r="C617" s="74" t="s">
        <v>605</v>
      </c>
      <c r="D617" s="74" t="s">
        <v>606</v>
      </c>
      <c r="E617" s="9" t="s">
        <v>611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spans="1:24" ht="13.2" x14ac:dyDescent="0.25">
      <c r="A618" s="9" t="s">
        <v>96</v>
      </c>
      <c r="B618" s="9" t="s">
        <v>76</v>
      </c>
      <c r="C618" s="91">
        <v>0.5</v>
      </c>
      <c r="D618" s="74" t="s">
        <v>603</v>
      </c>
      <c r="E618" s="9" t="s">
        <v>668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spans="1:24" ht="13.2" x14ac:dyDescent="0.25">
      <c r="A619" s="9" t="s">
        <v>96</v>
      </c>
      <c r="B619" s="9" t="s">
        <v>150</v>
      </c>
      <c r="C619" s="90">
        <v>0.36899999999999999</v>
      </c>
      <c r="D619" s="74" t="s">
        <v>603</v>
      </c>
      <c r="E619" s="9" t="s">
        <v>677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spans="1:24" ht="13.2" x14ac:dyDescent="0.25">
      <c r="A620" s="9" t="s">
        <v>96</v>
      </c>
      <c r="B620" s="9" t="s">
        <v>351</v>
      </c>
      <c r="C620" s="74" t="s">
        <v>678</v>
      </c>
      <c r="D620" s="74" t="s">
        <v>603</v>
      </c>
      <c r="E620" s="9" t="s">
        <v>679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spans="1:24" ht="13.2" x14ac:dyDescent="0.25">
      <c r="A621" s="9" t="s">
        <v>96</v>
      </c>
      <c r="B621" s="9" t="s">
        <v>152</v>
      </c>
      <c r="C621" s="74" t="s">
        <v>605</v>
      </c>
      <c r="D621" s="74" t="s">
        <v>606</v>
      </c>
      <c r="E621" s="9" t="s">
        <v>680</v>
      </c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spans="1:24" ht="13.2" x14ac:dyDescent="0.25">
      <c r="A622" s="9" t="s">
        <v>96</v>
      </c>
      <c r="B622" s="9" t="s">
        <v>78</v>
      </c>
      <c r="C622" s="74" t="s">
        <v>681</v>
      </c>
      <c r="D622" s="74" t="s">
        <v>603</v>
      </c>
      <c r="E622" s="9" t="s">
        <v>682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spans="1:24" ht="13.2" x14ac:dyDescent="0.25">
      <c r="A623" s="9" t="s">
        <v>96</v>
      </c>
      <c r="B623" s="9" t="s">
        <v>80</v>
      </c>
      <c r="C623" s="74">
        <v>2030</v>
      </c>
      <c r="D623" s="74" t="s">
        <v>603</v>
      </c>
      <c r="E623" s="9" t="s">
        <v>683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spans="1:24" ht="13.2" x14ac:dyDescent="0.25">
      <c r="A624" s="9" t="s">
        <v>96</v>
      </c>
      <c r="B624" s="9" t="s">
        <v>82</v>
      </c>
      <c r="C624" s="74">
        <v>2030</v>
      </c>
      <c r="D624" s="74" t="s">
        <v>603</v>
      </c>
      <c r="E624" s="9" t="s">
        <v>684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spans="1:24" ht="13.2" x14ac:dyDescent="0.25">
      <c r="A625" s="9" t="s">
        <v>97</v>
      </c>
      <c r="B625" s="9" t="s">
        <v>2</v>
      </c>
      <c r="C625" s="74" t="s">
        <v>685</v>
      </c>
      <c r="D625" s="74" t="s">
        <v>533</v>
      </c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spans="1:24" ht="13.2" x14ac:dyDescent="0.25">
      <c r="A626" s="9" t="s">
        <v>97</v>
      </c>
      <c r="B626" s="9" t="s">
        <v>4</v>
      </c>
      <c r="C626" s="91">
        <v>0.89</v>
      </c>
      <c r="D626" s="74" t="s">
        <v>533</v>
      </c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spans="1:24" ht="13.2" x14ac:dyDescent="0.25">
      <c r="A627" s="9" t="s">
        <v>97</v>
      </c>
      <c r="B627" s="9" t="s">
        <v>6</v>
      </c>
      <c r="C627" s="91">
        <v>0.21</v>
      </c>
      <c r="D627" s="74" t="s">
        <v>533</v>
      </c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spans="1:24" ht="13.2" x14ac:dyDescent="0.25">
      <c r="A628" s="9" t="s">
        <v>97</v>
      </c>
      <c r="B628" s="9" t="s">
        <v>8</v>
      </c>
      <c r="C628" s="91">
        <v>1</v>
      </c>
      <c r="D628" s="74" t="s">
        <v>533</v>
      </c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spans="1:24" ht="13.2" x14ac:dyDescent="0.25">
      <c r="A629" s="9" t="s">
        <v>97</v>
      </c>
      <c r="B629" s="9" t="s">
        <v>10</v>
      </c>
      <c r="C629" s="74" t="s">
        <v>315</v>
      </c>
      <c r="D629" s="74" t="s">
        <v>535</v>
      </c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spans="1:24" ht="13.2" x14ac:dyDescent="0.25">
      <c r="A630" s="9" t="s">
        <v>97</v>
      </c>
      <c r="B630" s="9" t="s">
        <v>12</v>
      </c>
      <c r="C630" s="74" t="s">
        <v>315</v>
      </c>
      <c r="D630" s="74" t="s">
        <v>535</v>
      </c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spans="1:24" ht="13.2" x14ac:dyDescent="0.25">
      <c r="A631" s="9" t="s">
        <v>97</v>
      </c>
      <c r="B631" s="9" t="s">
        <v>14</v>
      </c>
      <c r="C631" s="74" t="s">
        <v>686</v>
      </c>
      <c r="D631" s="74" t="s">
        <v>533</v>
      </c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spans="1:24" ht="13.2" x14ac:dyDescent="0.25">
      <c r="A632" s="9" t="s">
        <v>97</v>
      </c>
      <c r="B632" s="9" t="s">
        <v>16</v>
      </c>
      <c r="C632" s="74" t="s">
        <v>687</v>
      </c>
      <c r="D632" s="74" t="s">
        <v>533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spans="1:24" ht="13.2" x14ac:dyDescent="0.25">
      <c r="A633" s="9" t="s">
        <v>97</v>
      </c>
      <c r="B633" s="9" t="s">
        <v>18</v>
      </c>
      <c r="C633" s="74" t="s">
        <v>688</v>
      </c>
      <c r="D633" s="74" t="s">
        <v>533</v>
      </c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spans="1:24" ht="13.2" x14ac:dyDescent="0.25">
      <c r="A634" s="9" t="s">
        <v>97</v>
      </c>
      <c r="B634" s="9" t="s">
        <v>20</v>
      </c>
      <c r="C634" s="74" t="s">
        <v>689</v>
      </c>
      <c r="D634" s="74" t="s">
        <v>533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spans="1:24" ht="13.2" x14ac:dyDescent="0.25">
      <c r="A635" s="9" t="s">
        <v>97</v>
      </c>
      <c r="B635" s="9" t="s">
        <v>22</v>
      </c>
      <c r="C635" s="74" t="s">
        <v>690</v>
      </c>
      <c r="D635" s="74" t="s">
        <v>537</v>
      </c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spans="1:24" ht="13.2" x14ac:dyDescent="0.25">
      <c r="A636" s="9" t="s">
        <v>97</v>
      </c>
      <c r="B636" s="9" t="s">
        <v>24</v>
      </c>
      <c r="C636" s="74" t="s">
        <v>691</v>
      </c>
      <c r="D636" s="74" t="s">
        <v>537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spans="1:24" ht="13.2" x14ac:dyDescent="0.25">
      <c r="A637" s="9" t="s">
        <v>97</v>
      </c>
      <c r="B637" s="9" t="s">
        <v>26</v>
      </c>
      <c r="C637" s="74" t="s">
        <v>692</v>
      </c>
      <c r="D637" s="74" t="s">
        <v>533</v>
      </c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spans="1:24" ht="13.2" x14ac:dyDescent="0.25">
      <c r="A638" s="9" t="s">
        <v>97</v>
      </c>
      <c r="B638" s="9" t="s">
        <v>28</v>
      </c>
      <c r="C638" s="74" t="s">
        <v>315</v>
      </c>
      <c r="D638" s="74" t="s">
        <v>535</v>
      </c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spans="1:24" ht="13.2" x14ac:dyDescent="0.25">
      <c r="A639" s="9" t="s">
        <v>97</v>
      </c>
      <c r="B639" s="9" t="s">
        <v>30</v>
      </c>
      <c r="C639" s="74" t="s">
        <v>693</v>
      </c>
      <c r="D639" s="74" t="s">
        <v>533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spans="1:24" ht="13.2" x14ac:dyDescent="0.25">
      <c r="A640" s="9" t="s">
        <v>97</v>
      </c>
      <c r="B640" s="9" t="s">
        <v>32</v>
      </c>
      <c r="C640" s="74" t="s">
        <v>694</v>
      </c>
      <c r="D640" s="74" t="s">
        <v>535</v>
      </c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spans="1:24" ht="13.2" x14ac:dyDescent="0.25">
      <c r="A641" s="9" t="s">
        <v>97</v>
      </c>
      <c r="B641" s="9" t="s">
        <v>34</v>
      </c>
      <c r="C641" s="74" t="s">
        <v>315</v>
      </c>
      <c r="D641" s="74" t="s">
        <v>535</v>
      </c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spans="1:24" ht="13.2" x14ac:dyDescent="0.25">
      <c r="A642" s="9" t="s">
        <v>97</v>
      </c>
      <c r="B642" s="9" t="s">
        <v>36</v>
      </c>
      <c r="C642" s="74" t="s">
        <v>315</v>
      </c>
      <c r="D642" s="74" t="s">
        <v>535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spans="1:24" ht="13.2" x14ac:dyDescent="0.25">
      <c r="A643" s="9" t="s">
        <v>97</v>
      </c>
      <c r="B643" s="9" t="s">
        <v>38</v>
      </c>
      <c r="C643" s="74" t="s">
        <v>695</v>
      </c>
      <c r="D643" s="74" t="s">
        <v>537</v>
      </c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spans="1:24" ht="13.2" x14ac:dyDescent="0.25">
      <c r="A644" s="9" t="s">
        <v>97</v>
      </c>
      <c r="B644" s="9" t="s">
        <v>40</v>
      </c>
      <c r="C644" s="74" t="s">
        <v>696</v>
      </c>
      <c r="D644" s="74" t="s">
        <v>533</v>
      </c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spans="1:24" ht="13.2" x14ac:dyDescent="0.25">
      <c r="A645" s="9" t="s">
        <v>97</v>
      </c>
      <c r="B645" s="9" t="s">
        <v>42</v>
      </c>
      <c r="C645" s="74" t="s">
        <v>697</v>
      </c>
      <c r="D645" s="74" t="s">
        <v>537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spans="1:24" ht="13.2" x14ac:dyDescent="0.25">
      <c r="A646" s="9" t="s">
        <v>97</v>
      </c>
      <c r="B646" s="9" t="s">
        <v>44</v>
      </c>
      <c r="C646" s="74" t="s">
        <v>315</v>
      </c>
      <c r="D646" s="74" t="s">
        <v>535</v>
      </c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spans="1:24" ht="13.2" x14ac:dyDescent="0.25">
      <c r="A647" s="9" t="s">
        <v>97</v>
      </c>
      <c r="B647" s="9" t="s">
        <v>46</v>
      </c>
      <c r="C647" s="91">
        <v>0.3</v>
      </c>
      <c r="D647" s="74" t="s">
        <v>533</v>
      </c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spans="1:24" ht="13.2" x14ac:dyDescent="0.25">
      <c r="A648" s="9" t="s">
        <v>97</v>
      </c>
      <c r="B648" s="9" t="s">
        <v>48</v>
      </c>
      <c r="C648" s="74" t="s">
        <v>698</v>
      </c>
      <c r="D648" s="74" t="s">
        <v>533</v>
      </c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spans="1:24" ht="13.2" x14ac:dyDescent="0.25">
      <c r="A649" s="9" t="s">
        <v>97</v>
      </c>
      <c r="B649" s="9" t="s">
        <v>124</v>
      </c>
      <c r="C649" s="74" t="s">
        <v>686</v>
      </c>
      <c r="D649" s="74" t="s">
        <v>537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spans="1:24" ht="13.2" x14ac:dyDescent="0.25">
      <c r="A650" s="9" t="s">
        <v>97</v>
      </c>
      <c r="B650" s="9" t="s">
        <v>126</v>
      </c>
      <c r="C650" s="74" t="s">
        <v>699</v>
      </c>
      <c r="D650" s="74" t="s">
        <v>537</v>
      </c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spans="1:24" ht="13.2" x14ac:dyDescent="0.25">
      <c r="A651" s="9" t="s">
        <v>97</v>
      </c>
      <c r="B651" s="9" t="s">
        <v>130</v>
      </c>
      <c r="C651" s="74" t="s">
        <v>700</v>
      </c>
      <c r="D651" s="74" t="s">
        <v>533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spans="1:24" ht="13.2" x14ac:dyDescent="0.25">
      <c r="A652" s="9" t="s">
        <v>97</v>
      </c>
      <c r="B652" s="9" t="s">
        <v>131</v>
      </c>
      <c r="C652" s="74" t="s">
        <v>315</v>
      </c>
      <c r="D652" s="74" t="s">
        <v>535</v>
      </c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spans="1:24" ht="13.2" x14ac:dyDescent="0.25">
      <c r="A653" s="9" t="s">
        <v>97</v>
      </c>
      <c r="B653" s="9" t="s">
        <v>132</v>
      </c>
      <c r="C653" s="74" t="s">
        <v>701</v>
      </c>
      <c r="D653" s="74" t="s">
        <v>537</v>
      </c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spans="1:24" ht="13.2" x14ac:dyDescent="0.25">
      <c r="A654" s="9" t="s">
        <v>97</v>
      </c>
      <c r="B654" s="9" t="s">
        <v>50</v>
      </c>
      <c r="C654" s="74" t="s">
        <v>702</v>
      </c>
      <c r="D654" s="74" t="s">
        <v>533</v>
      </c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spans="1:24" ht="13.2" x14ac:dyDescent="0.25">
      <c r="A655" s="9" t="s">
        <v>97</v>
      </c>
      <c r="B655" s="9" t="s">
        <v>52</v>
      </c>
      <c r="C655" s="74" t="s">
        <v>703</v>
      </c>
      <c r="D655" s="74" t="s">
        <v>533</v>
      </c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spans="1:24" ht="13.2" x14ac:dyDescent="0.25">
      <c r="A656" s="9" t="s">
        <v>97</v>
      </c>
      <c r="B656" s="9" t="s">
        <v>54</v>
      </c>
      <c r="C656" s="74" t="s">
        <v>704</v>
      </c>
      <c r="D656" s="74" t="s">
        <v>533</v>
      </c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spans="1:24" ht="13.2" x14ac:dyDescent="0.25">
      <c r="A657" s="9" t="s">
        <v>97</v>
      </c>
      <c r="B657" s="9" t="s">
        <v>134</v>
      </c>
      <c r="C657" s="74" t="s">
        <v>443</v>
      </c>
      <c r="D657" s="74" t="s">
        <v>537</v>
      </c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spans="1:24" ht="13.2" x14ac:dyDescent="0.25">
      <c r="A658" s="9" t="s">
        <v>97</v>
      </c>
      <c r="B658" s="9" t="s">
        <v>135</v>
      </c>
      <c r="C658" s="74" t="s">
        <v>443</v>
      </c>
      <c r="D658" s="74" t="s">
        <v>537</v>
      </c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spans="1:24" ht="13.2" x14ac:dyDescent="0.25">
      <c r="A659" s="9" t="s">
        <v>97</v>
      </c>
      <c r="B659" s="9" t="s">
        <v>136</v>
      </c>
      <c r="C659" s="74" t="s">
        <v>705</v>
      </c>
      <c r="D659" s="74" t="s">
        <v>537</v>
      </c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spans="1:24" ht="13.2" x14ac:dyDescent="0.25">
      <c r="A660" s="9" t="s">
        <v>97</v>
      </c>
      <c r="B660" s="9" t="s">
        <v>56</v>
      </c>
      <c r="C660" s="74" t="s">
        <v>706</v>
      </c>
      <c r="D660" s="74" t="s">
        <v>533</v>
      </c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spans="1:24" ht="13.2" x14ac:dyDescent="0.25">
      <c r="A661" s="9" t="s">
        <v>97</v>
      </c>
      <c r="B661" s="9" t="s">
        <v>337</v>
      </c>
      <c r="C661" s="74" t="s">
        <v>707</v>
      </c>
      <c r="D661" s="74" t="s">
        <v>533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spans="1:24" ht="13.2" x14ac:dyDescent="0.25">
      <c r="A662" s="9" t="s">
        <v>97</v>
      </c>
      <c r="B662" s="9" t="s">
        <v>470</v>
      </c>
      <c r="C662" s="74" t="s">
        <v>315</v>
      </c>
      <c r="D662" s="74" t="s">
        <v>535</v>
      </c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spans="1:24" ht="13.2" x14ac:dyDescent="0.25">
      <c r="A663" s="9" t="s">
        <v>97</v>
      </c>
      <c r="B663" s="9" t="s">
        <v>472</v>
      </c>
      <c r="C663" s="74" t="s">
        <v>708</v>
      </c>
      <c r="D663" s="74" t="s">
        <v>537</v>
      </c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spans="1:24" ht="13.2" x14ac:dyDescent="0.25">
      <c r="A664" s="9" t="s">
        <v>97</v>
      </c>
      <c r="B664" s="9" t="s">
        <v>66</v>
      </c>
      <c r="C664" s="91">
        <v>0.62</v>
      </c>
      <c r="D664" s="74" t="s">
        <v>533</v>
      </c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spans="1:24" ht="13.2" x14ac:dyDescent="0.25">
      <c r="A665" s="9" t="s">
        <v>97</v>
      </c>
      <c r="B665" s="9" t="s">
        <v>68</v>
      </c>
      <c r="C665" s="91">
        <v>0.7</v>
      </c>
      <c r="D665" s="74" t="s">
        <v>533</v>
      </c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spans="1:24" ht="13.2" x14ac:dyDescent="0.25">
      <c r="A666" s="9" t="s">
        <v>97</v>
      </c>
      <c r="B666" s="9" t="s">
        <v>341</v>
      </c>
      <c r="C666" s="74" t="s">
        <v>315</v>
      </c>
      <c r="D666" s="74" t="s">
        <v>535</v>
      </c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spans="1:24" ht="13.2" x14ac:dyDescent="0.25">
      <c r="A667" s="9" t="s">
        <v>97</v>
      </c>
      <c r="B667" s="9" t="s">
        <v>72</v>
      </c>
      <c r="C667" s="74" t="s">
        <v>315</v>
      </c>
      <c r="D667" s="74" t="s">
        <v>535</v>
      </c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spans="1:24" ht="13.2" x14ac:dyDescent="0.25">
      <c r="A668" s="9" t="s">
        <v>97</v>
      </c>
      <c r="B668" s="9" t="s">
        <v>342</v>
      </c>
      <c r="C668" s="91">
        <v>0.12</v>
      </c>
      <c r="D668" s="74" t="s">
        <v>533</v>
      </c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spans="1:24" ht="13.2" x14ac:dyDescent="0.25">
      <c r="A669" s="9" t="s">
        <v>97</v>
      </c>
      <c r="B669" s="9" t="s">
        <v>343</v>
      </c>
      <c r="C669" s="74" t="s">
        <v>315</v>
      </c>
      <c r="D669" s="74" t="s">
        <v>535</v>
      </c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spans="1:24" ht="13.2" x14ac:dyDescent="0.25">
      <c r="A670" s="9" t="s">
        <v>97</v>
      </c>
      <c r="B670" s="9" t="s">
        <v>344</v>
      </c>
      <c r="C670" s="74" t="s">
        <v>315</v>
      </c>
      <c r="D670" s="74" t="s">
        <v>535</v>
      </c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spans="1:24" ht="13.2" x14ac:dyDescent="0.25">
      <c r="A671" s="9" t="s">
        <v>97</v>
      </c>
      <c r="B671" s="9" t="s">
        <v>345</v>
      </c>
      <c r="C671" s="74" t="s">
        <v>315</v>
      </c>
      <c r="D671" s="74" t="s">
        <v>535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spans="1:24" ht="13.2" x14ac:dyDescent="0.25">
      <c r="A672" s="9" t="s">
        <v>97</v>
      </c>
      <c r="B672" s="9" t="s">
        <v>346</v>
      </c>
      <c r="C672" s="74" t="s">
        <v>315</v>
      </c>
      <c r="D672" s="74" t="s">
        <v>535</v>
      </c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spans="1:24" ht="13.2" x14ac:dyDescent="0.25">
      <c r="A673" s="9" t="s">
        <v>97</v>
      </c>
      <c r="B673" s="9" t="s">
        <v>347</v>
      </c>
      <c r="C673" s="74" t="s">
        <v>709</v>
      </c>
      <c r="D673" s="74" t="s">
        <v>537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spans="1:24" ht="13.2" x14ac:dyDescent="0.25">
      <c r="A674" s="9" t="s">
        <v>97</v>
      </c>
      <c r="B674" s="9" t="s">
        <v>348</v>
      </c>
      <c r="C674" s="74" t="s">
        <v>315</v>
      </c>
      <c r="D674" s="74" t="s">
        <v>535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spans="1:24" ht="13.2" x14ac:dyDescent="0.25">
      <c r="A675" s="9" t="s">
        <v>97</v>
      </c>
      <c r="B675" s="9" t="s">
        <v>349</v>
      </c>
      <c r="C675" s="91">
        <v>0.35</v>
      </c>
      <c r="D675" s="74" t="s">
        <v>533</v>
      </c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spans="1:24" ht="13.2" x14ac:dyDescent="0.25">
      <c r="A676" s="9" t="s">
        <v>97</v>
      </c>
      <c r="B676" s="9" t="s">
        <v>150</v>
      </c>
      <c r="C676" s="91">
        <v>0.12</v>
      </c>
      <c r="D676" s="74" t="s">
        <v>533</v>
      </c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spans="1:24" ht="13.2" x14ac:dyDescent="0.25">
      <c r="A677" s="9" t="s">
        <v>97</v>
      </c>
      <c r="B677" s="9" t="s">
        <v>351</v>
      </c>
      <c r="C677" s="74" t="s">
        <v>710</v>
      </c>
      <c r="D677" s="74" t="s">
        <v>537</v>
      </c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spans="1:24" ht="13.2" x14ac:dyDescent="0.25">
      <c r="A678" s="9" t="s">
        <v>97</v>
      </c>
      <c r="B678" s="9" t="s">
        <v>152</v>
      </c>
      <c r="C678" s="74" t="s">
        <v>315</v>
      </c>
      <c r="D678" s="74" t="s">
        <v>535</v>
      </c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spans="1:24" ht="13.2" x14ac:dyDescent="0.25">
      <c r="A679" s="9" t="s">
        <v>97</v>
      </c>
      <c r="B679" s="9" t="s">
        <v>78</v>
      </c>
      <c r="C679" s="74">
        <v>2025</v>
      </c>
      <c r="D679" s="74" t="s">
        <v>533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spans="1:24" ht="13.2" x14ac:dyDescent="0.25">
      <c r="A680" s="9" t="s">
        <v>97</v>
      </c>
      <c r="B680" s="9" t="s">
        <v>80</v>
      </c>
      <c r="C680" s="74">
        <v>2030</v>
      </c>
      <c r="D680" s="74" t="s">
        <v>533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spans="1:24" ht="13.2" x14ac:dyDescent="0.25">
      <c r="A681" s="9" t="s">
        <v>97</v>
      </c>
      <c r="B681" s="9" t="s">
        <v>82</v>
      </c>
      <c r="C681" s="74">
        <v>2030</v>
      </c>
      <c r="D681" s="74" t="s">
        <v>533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spans="1:24" ht="13.2" x14ac:dyDescent="0.25">
      <c r="A682" s="9" t="s">
        <v>98</v>
      </c>
      <c r="B682" s="9" t="s">
        <v>2</v>
      </c>
      <c r="C682" s="74" t="s">
        <v>711</v>
      </c>
      <c r="D682" s="74" t="s">
        <v>317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spans="1:24" ht="13.2" x14ac:dyDescent="0.25">
      <c r="A683" s="9" t="s">
        <v>98</v>
      </c>
      <c r="B683" s="9" t="s">
        <v>4</v>
      </c>
      <c r="C683" s="74" t="s">
        <v>315</v>
      </c>
      <c r="D683" s="74" t="s">
        <v>316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spans="1:24" ht="13.2" x14ac:dyDescent="0.25">
      <c r="A684" s="9" t="s">
        <v>98</v>
      </c>
      <c r="B684" s="9" t="s">
        <v>6</v>
      </c>
      <c r="C684" s="74" t="s">
        <v>315</v>
      </c>
      <c r="D684" s="74" t="s">
        <v>316</v>
      </c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spans="1:24" ht="13.2" x14ac:dyDescent="0.25">
      <c r="A685" s="9" t="s">
        <v>98</v>
      </c>
      <c r="B685" s="9" t="s">
        <v>8</v>
      </c>
      <c r="C685" s="91">
        <v>1</v>
      </c>
      <c r="D685" s="74" t="s">
        <v>314</v>
      </c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spans="1:24" ht="13.2" x14ac:dyDescent="0.25">
      <c r="A686" s="9" t="s">
        <v>98</v>
      </c>
      <c r="B686" s="9" t="s">
        <v>10</v>
      </c>
      <c r="C686" s="74" t="s">
        <v>315</v>
      </c>
      <c r="D686" s="74" t="s">
        <v>316</v>
      </c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spans="1:24" ht="13.2" x14ac:dyDescent="0.25">
      <c r="A687" s="9" t="s">
        <v>98</v>
      </c>
      <c r="B687" s="9" t="s">
        <v>12</v>
      </c>
      <c r="C687" s="74" t="s">
        <v>315</v>
      </c>
      <c r="D687" s="74" t="s">
        <v>316</v>
      </c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spans="1:24" ht="13.2" x14ac:dyDescent="0.25">
      <c r="A688" s="9" t="s">
        <v>98</v>
      </c>
      <c r="B688" s="9" t="s">
        <v>14</v>
      </c>
      <c r="C688" s="74" t="s">
        <v>712</v>
      </c>
      <c r="D688" s="74" t="s">
        <v>317</v>
      </c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spans="1:24" ht="13.2" x14ac:dyDescent="0.25">
      <c r="A689" s="9" t="s">
        <v>98</v>
      </c>
      <c r="B689" s="9" t="s">
        <v>16</v>
      </c>
      <c r="C689" s="74" t="s">
        <v>713</v>
      </c>
      <c r="D689" s="74" t="s">
        <v>317</v>
      </c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spans="1:24" ht="13.2" x14ac:dyDescent="0.25">
      <c r="A690" s="9" t="s">
        <v>98</v>
      </c>
      <c r="B690" s="9" t="s">
        <v>18</v>
      </c>
      <c r="C690" s="74" t="s">
        <v>714</v>
      </c>
      <c r="D690" s="74" t="s">
        <v>314</v>
      </c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spans="1:24" ht="13.2" x14ac:dyDescent="0.25">
      <c r="A691" s="9" t="s">
        <v>98</v>
      </c>
      <c r="B691" s="9" t="s">
        <v>20</v>
      </c>
      <c r="C691" s="74" t="s">
        <v>715</v>
      </c>
      <c r="D691" s="74" t="s">
        <v>317</v>
      </c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spans="1:24" ht="13.2" x14ac:dyDescent="0.25">
      <c r="A692" s="9" t="s">
        <v>98</v>
      </c>
      <c r="B692" s="9" t="s">
        <v>22</v>
      </c>
      <c r="C692" s="74" t="s">
        <v>716</v>
      </c>
      <c r="D692" s="74" t="s">
        <v>317</v>
      </c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spans="1:24" ht="13.2" x14ac:dyDescent="0.25">
      <c r="A693" s="9" t="s">
        <v>98</v>
      </c>
      <c r="B693" s="9" t="s">
        <v>24</v>
      </c>
      <c r="C693" s="74" t="s">
        <v>717</v>
      </c>
      <c r="D693" s="74" t="s">
        <v>317</v>
      </c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spans="1:24" ht="13.2" x14ac:dyDescent="0.25">
      <c r="A694" s="9" t="s">
        <v>98</v>
      </c>
      <c r="B694" s="9" t="s">
        <v>26</v>
      </c>
      <c r="C694" s="74" t="s">
        <v>718</v>
      </c>
      <c r="D694" s="74" t="s">
        <v>314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spans="1:24" ht="13.2" x14ac:dyDescent="0.25">
      <c r="A695" s="9" t="s">
        <v>98</v>
      </c>
      <c r="B695" s="9" t="s">
        <v>28</v>
      </c>
      <c r="C695" s="74" t="s">
        <v>719</v>
      </c>
      <c r="D695" s="74" t="s">
        <v>314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spans="1:24" ht="13.2" x14ac:dyDescent="0.25">
      <c r="A696" s="9" t="s">
        <v>98</v>
      </c>
      <c r="B696" s="9" t="s">
        <v>30</v>
      </c>
      <c r="C696" s="74" t="s">
        <v>720</v>
      </c>
      <c r="D696" s="74" t="s">
        <v>314</v>
      </c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spans="1:24" ht="13.2" x14ac:dyDescent="0.25">
      <c r="A697" s="9" t="s">
        <v>98</v>
      </c>
      <c r="B697" s="9" t="s">
        <v>32</v>
      </c>
      <c r="C697" s="74" t="s">
        <v>721</v>
      </c>
      <c r="D697" s="74" t="s">
        <v>316</v>
      </c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spans="1:24" ht="13.2" x14ac:dyDescent="0.25">
      <c r="A698" s="9" t="s">
        <v>98</v>
      </c>
      <c r="B698" s="9" t="s">
        <v>34</v>
      </c>
      <c r="C698" s="74" t="s">
        <v>722</v>
      </c>
      <c r="D698" s="74" t="s">
        <v>314</v>
      </c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spans="1:24" ht="13.2" x14ac:dyDescent="0.25">
      <c r="A699" s="9" t="s">
        <v>98</v>
      </c>
      <c r="B699" s="9" t="s">
        <v>36</v>
      </c>
      <c r="C699" s="74" t="s">
        <v>315</v>
      </c>
      <c r="D699" s="74" t="s">
        <v>316</v>
      </c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spans="1:24" ht="13.2" x14ac:dyDescent="0.25">
      <c r="A700" s="9" t="s">
        <v>98</v>
      </c>
      <c r="B700" s="9" t="s">
        <v>38</v>
      </c>
      <c r="C700" s="74" t="s">
        <v>315</v>
      </c>
      <c r="D700" s="74" t="s">
        <v>316</v>
      </c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spans="1:24" ht="13.2" x14ac:dyDescent="0.25">
      <c r="A701" s="9" t="s">
        <v>98</v>
      </c>
      <c r="B701" s="9" t="s">
        <v>40</v>
      </c>
      <c r="C701" s="74" t="s">
        <v>723</v>
      </c>
      <c r="D701" s="74" t="s">
        <v>314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spans="1:24" ht="14.4" x14ac:dyDescent="0.3">
      <c r="A702" s="9" t="s">
        <v>98</v>
      </c>
      <c r="B702" s="9" t="s">
        <v>42</v>
      </c>
      <c r="C702" s="94" t="s">
        <v>724</v>
      </c>
      <c r="D702" s="74" t="s">
        <v>314</v>
      </c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spans="1:24" ht="14.4" x14ac:dyDescent="0.3">
      <c r="A703" s="9" t="s">
        <v>98</v>
      </c>
      <c r="B703" s="9" t="s">
        <v>44</v>
      </c>
      <c r="C703" s="94" t="s">
        <v>725</v>
      </c>
      <c r="D703" s="74" t="s">
        <v>314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spans="1:24" ht="13.2" x14ac:dyDescent="0.25">
      <c r="A704" s="9" t="s">
        <v>98</v>
      </c>
      <c r="B704" s="9" t="s">
        <v>46</v>
      </c>
      <c r="C704" s="74" t="s">
        <v>726</v>
      </c>
      <c r="D704" s="74" t="s">
        <v>314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spans="1:24" ht="13.2" x14ac:dyDescent="0.25">
      <c r="A705" s="9" t="s">
        <v>98</v>
      </c>
      <c r="B705" s="9" t="s">
        <v>48</v>
      </c>
      <c r="C705" s="74" t="s">
        <v>727</v>
      </c>
      <c r="D705" s="74" t="s">
        <v>314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spans="1:24" ht="13.2" x14ac:dyDescent="0.25">
      <c r="A706" s="9" t="s">
        <v>98</v>
      </c>
      <c r="B706" s="9" t="s">
        <v>124</v>
      </c>
      <c r="C706" s="74" t="s">
        <v>728</v>
      </c>
      <c r="D706" s="74" t="s">
        <v>314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spans="1:24" ht="13.2" x14ac:dyDescent="0.25">
      <c r="A707" s="9" t="s">
        <v>98</v>
      </c>
      <c r="B707" s="9" t="s">
        <v>126</v>
      </c>
      <c r="C707" s="74" t="s">
        <v>729</v>
      </c>
      <c r="D707" s="74" t="s">
        <v>317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spans="1:24" ht="13.2" x14ac:dyDescent="0.25">
      <c r="A708" s="9" t="s">
        <v>98</v>
      </c>
      <c r="B708" s="9" t="s">
        <v>130</v>
      </c>
      <c r="C708" s="74" t="s">
        <v>730</v>
      </c>
      <c r="D708" s="74" t="s">
        <v>317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spans="1:24" ht="13.2" x14ac:dyDescent="0.25">
      <c r="A709" s="9" t="s">
        <v>98</v>
      </c>
      <c r="B709" s="9" t="s">
        <v>131</v>
      </c>
      <c r="C709" s="74" t="s">
        <v>315</v>
      </c>
      <c r="D709" s="74" t="s">
        <v>316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spans="1:24" ht="13.2" x14ac:dyDescent="0.25">
      <c r="A710" s="9" t="s">
        <v>98</v>
      </c>
      <c r="B710" s="9" t="s">
        <v>132</v>
      </c>
      <c r="C710" s="74" t="s">
        <v>731</v>
      </c>
      <c r="D710" s="74" t="s">
        <v>317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spans="1:24" ht="13.2" x14ac:dyDescent="0.25">
      <c r="A711" s="9" t="s">
        <v>98</v>
      </c>
      <c r="B711" s="9" t="s">
        <v>50</v>
      </c>
      <c r="C711" s="74" t="s">
        <v>732</v>
      </c>
      <c r="D711" s="74" t="s">
        <v>314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spans="1:24" ht="13.2" x14ac:dyDescent="0.25">
      <c r="A712" s="9" t="s">
        <v>98</v>
      </c>
      <c r="B712" s="9" t="s">
        <v>52</v>
      </c>
      <c r="C712" s="74" t="s">
        <v>733</v>
      </c>
      <c r="D712" s="74" t="s">
        <v>314</v>
      </c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spans="1:24" ht="13.2" x14ac:dyDescent="0.25">
      <c r="A713" s="9" t="s">
        <v>98</v>
      </c>
      <c r="B713" s="9" t="s">
        <v>54</v>
      </c>
      <c r="C713" s="74" t="s">
        <v>734</v>
      </c>
      <c r="D713" s="74" t="s">
        <v>314</v>
      </c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spans="1:24" ht="13.2" x14ac:dyDescent="0.25">
      <c r="A714" s="9" t="s">
        <v>98</v>
      </c>
      <c r="B714" s="9" t="s">
        <v>134</v>
      </c>
      <c r="C714" s="74" t="s">
        <v>315</v>
      </c>
      <c r="D714" s="74" t="s">
        <v>316</v>
      </c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spans="1:24" ht="13.2" x14ac:dyDescent="0.25">
      <c r="A715" s="9" t="s">
        <v>98</v>
      </c>
      <c r="B715" s="9" t="s">
        <v>135</v>
      </c>
      <c r="C715" s="74" t="s">
        <v>315</v>
      </c>
      <c r="D715" s="74" t="s">
        <v>316</v>
      </c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spans="1:24" ht="13.2" x14ac:dyDescent="0.25">
      <c r="A716" s="9" t="s">
        <v>98</v>
      </c>
      <c r="B716" s="9" t="s">
        <v>136</v>
      </c>
      <c r="C716" s="74" t="s">
        <v>397</v>
      </c>
      <c r="D716" s="74" t="s">
        <v>317</v>
      </c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spans="1:24" ht="13.2" x14ac:dyDescent="0.25">
      <c r="A717" s="9" t="s">
        <v>98</v>
      </c>
      <c r="B717" s="9" t="s">
        <v>56</v>
      </c>
      <c r="C717" s="74" t="s">
        <v>315</v>
      </c>
      <c r="D717" s="74" t="s">
        <v>316</v>
      </c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spans="1:24" ht="13.2" x14ac:dyDescent="0.25">
      <c r="A718" s="9" t="s">
        <v>98</v>
      </c>
      <c r="B718" s="9" t="s">
        <v>337</v>
      </c>
      <c r="C718" s="74" t="s">
        <v>735</v>
      </c>
      <c r="D718" s="74" t="s">
        <v>317</v>
      </c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spans="1:24" ht="13.2" x14ac:dyDescent="0.25">
      <c r="A719" s="9" t="s">
        <v>98</v>
      </c>
      <c r="B719" s="9" t="s">
        <v>470</v>
      </c>
      <c r="C719" s="74" t="s">
        <v>315</v>
      </c>
      <c r="D719" s="74" t="s">
        <v>316</v>
      </c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spans="1:24" ht="13.2" x14ac:dyDescent="0.25">
      <c r="A720" s="9" t="s">
        <v>98</v>
      </c>
      <c r="B720" s="9" t="s">
        <v>472</v>
      </c>
      <c r="C720" s="74" t="s">
        <v>356</v>
      </c>
      <c r="D720" s="74" t="s">
        <v>316</v>
      </c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spans="1:24" ht="13.2" x14ac:dyDescent="0.25">
      <c r="A721" s="9" t="s">
        <v>98</v>
      </c>
      <c r="B721" s="9" t="s">
        <v>66</v>
      </c>
      <c r="C721" s="74" t="s">
        <v>716</v>
      </c>
      <c r="D721" s="74" t="s">
        <v>314</v>
      </c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spans="1:24" ht="13.2" x14ac:dyDescent="0.25">
      <c r="A722" s="9" t="s">
        <v>98</v>
      </c>
      <c r="B722" s="9" t="s">
        <v>68</v>
      </c>
      <c r="C722" s="91">
        <v>1</v>
      </c>
      <c r="D722" s="74" t="s">
        <v>314</v>
      </c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spans="1:24" ht="13.2" x14ac:dyDescent="0.25">
      <c r="A723" s="9" t="s">
        <v>98</v>
      </c>
      <c r="B723" s="9" t="s">
        <v>341</v>
      </c>
      <c r="C723" s="74" t="s">
        <v>449</v>
      </c>
      <c r="D723" s="74" t="s">
        <v>316</v>
      </c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spans="1:24" ht="13.2" x14ac:dyDescent="0.25">
      <c r="A724" s="9" t="s">
        <v>98</v>
      </c>
      <c r="B724" s="9" t="s">
        <v>72</v>
      </c>
      <c r="C724" s="74" t="s">
        <v>315</v>
      </c>
      <c r="D724" s="74" t="s">
        <v>316</v>
      </c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spans="1:24" ht="13.2" x14ac:dyDescent="0.25">
      <c r="A725" s="9" t="s">
        <v>98</v>
      </c>
      <c r="B725" s="9" t="s">
        <v>342</v>
      </c>
      <c r="C725" s="90">
        <v>0.34399999999999997</v>
      </c>
      <c r="D725" s="74" t="s">
        <v>314</v>
      </c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spans="1:24" ht="13.2" x14ac:dyDescent="0.25">
      <c r="A726" s="9" t="s">
        <v>98</v>
      </c>
      <c r="B726" s="9" t="s">
        <v>343</v>
      </c>
      <c r="C726" s="74" t="s">
        <v>315</v>
      </c>
      <c r="D726" s="74" t="s">
        <v>316</v>
      </c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spans="1:24" ht="13.2" x14ac:dyDescent="0.25">
      <c r="A727" s="9" t="s">
        <v>98</v>
      </c>
      <c r="B727" s="9" t="s">
        <v>344</v>
      </c>
      <c r="C727" s="74" t="s">
        <v>315</v>
      </c>
      <c r="D727" s="74" t="s">
        <v>316</v>
      </c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spans="1:24" ht="13.2" x14ac:dyDescent="0.25">
      <c r="A728" s="9" t="s">
        <v>98</v>
      </c>
      <c r="B728" s="9" t="s">
        <v>345</v>
      </c>
      <c r="C728" s="74" t="s">
        <v>736</v>
      </c>
      <c r="D728" s="74" t="s">
        <v>314</v>
      </c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spans="1:24" ht="13.2" x14ac:dyDescent="0.25">
      <c r="A729" s="9" t="s">
        <v>98</v>
      </c>
      <c r="B729" s="9" t="s">
        <v>346</v>
      </c>
      <c r="C729" s="74" t="s">
        <v>737</v>
      </c>
      <c r="D729" s="74" t="s">
        <v>314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spans="1:24" ht="13.2" x14ac:dyDescent="0.25">
      <c r="A730" s="9" t="s">
        <v>98</v>
      </c>
      <c r="B730" s="9" t="s">
        <v>347</v>
      </c>
      <c r="C730" s="74" t="s">
        <v>738</v>
      </c>
      <c r="D730" s="74" t="s">
        <v>317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spans="1:24" ht="13.2" x14ac:dyDescent="0.25">
      <c r="A731" s="9" t="s">
        <v>98</v>
      </c>
      <c r="B731" s="9" t="s">
        <v>348</v>
      </c>
      <c r="C731" s="74" t="s">
        <v>739</v>
      </c>
      <c r="D731" s="74" t="s">
        <v>314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spans="1:24" ht="13.2" x14ac:dyDescent="0.25">
      <c r="A732" s="9" t="s">
        <v>98</v>
      </c>
      <c r="B732" s="9" t="s">
        <v>349</v>
      </c>
      <c r="C732" s="91">
        <v>1</v>
      </c>
      <c r="D732" s="74" t="s">
        <v>314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spans="1:24" ht="13.2" x14ac:dyDescent="0.25">
      <c r="A733" s="9" t="s">
        <v>98</v>
      </c>
      <c r="B733" s="9" t="s">
        <v>150</v>
      </c>
      <c r="C733" s="90">
        <v>0.34399999999999997</v>
      </c>
      <c r="D733" s="74" t="s">
        <v>314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spans="1:24" ht="13.2" x14ac:dyDescent="0.25">
      <c r="A734" s="9" t="s">
        <v>98</v>
      </c>
      <c r="B734" s="9" t="s">
        <v>351</v>
      </c>
      <c r="C734" s="74" t="s">
        <v>740</v>
      </c>
      <c r="D734" s="74" t="s">
        <v>317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spans="1:24" ht="13.2" x14ac:dyDescent="0.25">
      <c r="A735" s="9" t="s">
        <v>98</v>
      </c>
      <c r="B735" s="9" t="s">
        <v>152</v>
      </c>
      <c r="C735" s="74" t="s">
        <v>741</v>
      </c>
      <c r="D735" s="74" t="s">
        <v>314</v>
      </c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spans="1:24" ht="13.2" x14ac:dyDescent="0.25">
      <c r="A736" s="9" t="s">
        <v>98</v>
      </c>
      <c r="B736" s="9" t="s">
        <v>78</v>
      </c>
      <c r="C736" s="74">
        <v>2025</v>
      </c>
      <c r="D736" s="74" t="s">
        <v>314</v>
      </c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spans="1:24" ht="13.2" x14ac:dyDescent="0.25">
      <c r="A737" s="9" t="s">
        <v>98</v>
      </c>
      <c r="B737" s="9" t="s">
        <v>80</v>
      </c>
      <c r="C737" s="74">
        <v>2030</v>
      </c>
      <c r="D737" s="74" t="s">
        <v>314</v>
      </c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spans="1:24" ht="13.2" x14ac:dyDescent="0.25">
      <c r="A738" s="9" t="s">
        <v>98</v>
      </c>
      <c r="B738" s="9" t="s">
        <v>82</v>
      </c>
      <c r="C738" s="74">
        <v>2030</v>
      </c>
      <c r="D738" s="74" t="s">
        <v>314</v>
      </c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spans="1:24" ht="13.2" x14ac:dyDescent="0.25">
      <c r="A739" s="9" t="s">
        <v>99</v>
      </c>
      <c r="B739" s="9" t="s">
        <v>2</v>
      </c>
      <c r="C739" s="74" t="s">
        <v>685</v>
      </c>
      <c r="D739" s="74" t="s">
        <v>533</v>
      </c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spans="1:24" ht="13.2" x14ac:dyDescent="0.25">
      <c r="A740" s="9" t="s">
        <v>99</v>
      </c>
      <c r="B740" s="9" t="s">
        <v>4</v>
      </c>
      <c r="C740" s="90">
        <v>0.71299999999999997</v>
      </c>
      <c r="D740" s="74" t="s">
        <v>533</v>
      </c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spans="1:24" ht="13.2" x14ac:dyDescent="0.25">
      <c r="A741" s="9" t="s">
        <v>99</v>
      </c>
      <c r="B741" s="9" t="s">
        <v>6</v>
      </c>
      <c r="C741" s="90">
        <v>0.114</v>
      </c>
      <c r="D741" s="74" t="s">
        <v>533</v>
      </c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spans="1:24" ht="13.2" x14ac:dyDescent="0.25">
      <c r="A742" s="9" t="s">
        <v>99</v>
      </c>
      <c r="B742" s="9" t="s">
        <v>8</v>
      </c>
      <c r="C742" s="91">
        <v>1</v>
      </c>
      <c r="D742" s="74" t="s">
        <v>533</v>
      </c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spans="1:24" ht="13.2" x14ac:dyDescent="0.25">
      <c r="A743" s="9" t="s">
        <v>99</v>
      </c>
      <c r="B743" s="9" t="s">
        <v>10</v>
      </c>
      <c r="C743" s="74" t="s">
        <v>315</v>
      </c>
      <c r="D743" s="74" t="s">
        <v>535</v>
      </c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spans="1:24" ht="13.2" x14ac:dyDescent="0.25">
      <c r="A744" s="9" t="s">
        <v>99</v>
      </c>
      <c r="B744" s="9" t="s">
        <v>12</v>
      </c>
      <c r="C744" s="74" t="s">
        <v>315</v>
      </c>
      <c r="D744" s="74" t="s">
        <v>535</v>
      </c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spans="1:24" ht="13.2" x14ac:dyDescent="0.25">
      <c r="A745" s="9" t="s">
        <v>99</v>
      </c>
      <c r="B745" s="9" t="s">
        <v>742</v>
      </c>
      <c r="C745" s="74" t="s">
        <v>743</v>
      </c>
      <c r="D745" s="74" t="s">
        <v>537</v>
      </c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spans="1:24" ht="13.2" x14ac:dyDescent="0.25">
      <c r="A746" s="9" t="s">
        <v>99</v>
      </c>
      <c r="B746" s="9" t="s">
        <v>16</v>
      </c>
      <c r="C746" s="74" t="s">
        <v>744</v>
      </c>
      <c r="D746" s="74" t="s">
        <v>533</v>
      </c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spans="1:24" ht="13.2" x14ac:dyDescent="0.25">
      <c r="A747" s="9" t="s">
        <v>99</v>
      </c>
      <c r="B747" s="9" t="s">
        <v>18</v>
      </c>
      <c r="C747" s="74" t="s">
        <v>745</v>
      </c>
      <c r="D747" s="74" t="s">
        <v>535</v>
      </c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spans="1:24" ht="13.2" x14ac:dyDescent="0.25">
      <c r="A748" s="9" t="s">
        <v>99</v>
      </c>
      <c r="B748" s="9" t="s">
        <v>20</v>
      </c>
      <c r="C748" s="74" t="s">
        <v>315</v>
      </c>
      <c r="D748" s="74" t="s">
        <v>535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spans="1:24" ht="13.2" x14ac:dyDescent="0.25">
      <c r="A749" s="9" t="s">
        <v>99</v>
      </c>
      <c r="B749" s="9" t="s">
        <v>22</v>
      </c>
      <c r="C749" s="74" t="s">
        <v>746</v>
      </c>
      <c r="D749" s="74" t="s">
        <v>537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spans="1:24" ht="13.2" x14ac:dyDescent="0.25">
      <c r="A750" s="9" t="s">
        <v>99</v>
      </c>
      <c r="B750" s="9" t="s">
        <v>24</v>
      </c>
      <c r="C750" s="74" t="s">
        <v>747</v>
      </c>
      <c r="D750" s="74" t="s">
        <v>537</v>
      </c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spans="1:24" ht="13.2" x14ac:dyDescent="0.25">
      <c r="A751" s="9" t="s">
        <v>99</v>
      </c>
      <c r="B751" s="9" t="s">
        <v>26</v>
      </c>
      <c r="C751" s="74" t="s">
        <v>748</v>
      </c>
      <c r="D751" s="74" t="s">
        <v>537</v>
      </c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spans="1:24" ht="13.2" x14ac:dyDescent="0.25">
      <c r="A752" s="9" t="s">
        <v>99</v>
      </c>
      <c r="B752" s="9" t="s">
        <v>28</v>
      </c>
      <c r="C752" s="74" t="s">
        <v>749</v>
      </c>
      <c r="D752" s="74" t="s">
        <v>533</v>
      </c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spans="1:24" ht="13.2" x14ac:dyDescent="0.25">
      <c r="A753" s="9" t="s">
        <v>99</v>
      </c>
      <c r="B753" s="9" t="s">
        <v>30</v>
      </c>
      <c r="C753" s="74" t="s">
        <v>750</v>
      </c>
      <c r="D753" s="74" t="s">
        <v>537</v>
      </c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spans="1:24" ht="13.2" x14ac:dyDescent="0.25">
      <c r="A754" s="9" t="s">
        <v>99</v>
      </c>
      <c r="B754" s="9" t="s">
        <v>32</v>
      </c>
      <c r="C754" s="74" t="s">
        <v>315</v>
      </c>
      <c r="D754" s="74" t="s">
        <v>535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spans="1:24" ht="13.2" x14ac:dyDescent="0.25">
      <c r="A755" s="9" t="s">
        <v>99</v>
      </c>
      <c r="B755" s="9" t="s">
        <v>34</v>
      </c>
      <c r="C755" s="74" t="s">
        <v>751</v>
      </c>
      <c r="D755" s="74" t="s">
        <v>533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spans="1:24" ht="13.2" x14ac:dyDescent="0.25">
      <c r="A756" s="9" t="s">
        <v>99</v>
      </c>
      <c r="B756" s="9" t="s">
        <v>36</v>
      </c>
      <c r="C756" s="74" t="s">
        <v>752</v>
      </c>
      <c r="D756" s="74" t="s">
        <v>533</v>
      </c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spans="1:24" ht="13.2" x14ac:dyDescent="0.25">
      <c r="A757" s="9" t="s">
        <v>99</v>
      </c>
      <c r="B757" s="9" t="s">
        <v>38</v>
      </c>
      <c r="C757" s="74" t="s">
        <v>315</v>
      </c>
      <c r="D757" s="74" t="s">
        <v>535</v>
      </c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spans="1:24" ht="13.2" x14ac:dyDescent="0.25">
      <c r="A758" s="9" t="s">
        <v>99</v>
      </c>
      <c r="B758" s="9" t="s">
        <v>40</v>
      </c>
      <c r="C758" s="74" t="s">
        <v>356</v>
      </c>
      <c r="D758" s="74" t="s">
        <v>535</v>
      </c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spans="1:24" ht="13.2" x14ac:dyDescent="0.25">
      <c r="A759" s="9" t="s">
        <v>99</v>
      </c>
      <c r="B759" s="9" t="s">
        <v>42</v>
      </c>
      <c r="C759" s="74" t="s">
        <v>356</v>
      </c>
      <c r="D759" s="74" t="s">
        <v>535</v>
      </c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spans="1:24" ht="13.2" x14ac:dyDescent="0.25">
      <c r="A760" s="9" t="s">
        <v>99</v>
      </c>
      <c r="B760" s="9" t="s">
        <v>44</v>
      </c>
      <c r="C760" s="74" t="s">
        <v>753</v>
      </c>
      <c r="D760" s="74" t="s">
        <v>533</v>
      </c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spans="1:24" ht="13.2" x14ac:dyDescent="0.25">
      <c r="A761" s="9" t="s">
        <v>99</v>
      </c>
      <c r="B761" s="9" t="s">
        <v>46</v>
      </c>
      <c r="C761" s="74" t="s">
        <v>315</v>
      </c>
      <c r="D761" s="74" t="s">
        <v>535</v>
      </c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spans="1:24" ht="13.2" x14ac:dyDescent="0.25">
      <c r="A762" s="9" t="s">
        <v>99</v>
      </c>
      <c r="B762" s="9" t="s">
        <v>48</v>
      </c>
      <c r="C762" s="74" t="s">
        <v>356</v>
      </c>
      <c r="D762" s="74" t="s">
        <v>535</v>
      </c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spans="1:24" ht="13.2" x14ac:dyDescent="0.25">
      <c r="A763" s="9" t="s">
        <v>99</v>
      </c>
      <c r="B763" s="9" t="s">
        <v>124</v>
      </c>
      <c r="C763" s="74" t="s">
        <v>754</v>
      </c>
      <c r="D763" s="74" t="s">
        <v>533</v>
      </c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spans="1:24" ht="13.2" x14ac:dyDescent="0.25">
      <c r="A764" s="9" t="s">
        <v>99</v>
      </c>
      <c r="B764" s="9" t="s">
        <v>126</v>
      </c>
      <c r="C764" s="74" t="s">
        <v>755</v>
      </c>
      <c r="D764" s="74" t="s">
        <v>533</v>
      </c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spans="1:24" ht="13.2" x14ac:dyDescent="0.25">
      <c r="A765" s="9" t="s">
        <v>99</v>
      </c>
      <c r="B765" s="9" t="s">
        <v>130</v>
      </c>
      <c r="C765" s="74" t="s">
        <v>756</v>
      </c>
      <c r="D765" s="74" t="s">
        <v>537</v>
      </c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spans="1:24" ht="13.2" x14ac:dyDescent="0.25">
      <c r="A766" s="9" t="s">
        <v>99</v>
      </c>
      <c r="B766" s="9" t="s">
        <v>131</v>
      </c>
      <c r="C766" s="74" t="s">
        <v>315</v>
      </c>
      <c r="D766" s="74" t="s">
        <v>535</v>
      </c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spans="1:24" ht="13.2" x14ac:dyDescent="0.25">
      <c r="A767" s="9" t="s">
        <v>99</v>
      </c>
      <c r="B767" s="9" t="s">
        <v>132</v>
      </c>
      <c r="C767" s="74" t="s">
        <v>757</v>
      </c>
      <c r="D767" s="74" t="s">
        <v>537</v>
      </c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spans="1:24" ht="13.2" x14ac:dyDescent="0.25">
      <c r="A768" s="9" t="s">
        <v>99</v>
      </c>
      <c r="B768" s="9" t="s">
        <v>50</v>
      </c>
      <c r="C768" s="74" t="s">
        <v>758</v>
      </c>
      <c r="D768" s="74" t="s">
        <v>533</v>
      </c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spans="1:24" ht="13.2" x14ac:dyDescent="0.25">
      <c r="A769" s="9" t="s">
        <v>99</v>
      </c>
      <c r="B769" s="9" t="s">
        <v>52</v>
      </c>
      <c r="C769" s="74" t="s">
        <v>759</v>
      </c>
      <c r="D769" s="74" t="s">
        <v>533</v>
      </c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spans="1:24" ht="13.2" x14ac:dyDescent="0.25">
      <c r="A770" s="9" t="s">
        <v>99</v>
      </c>
      <c r="B770" s="9" t="s">
        <v>54</v>
      </c>
      <c r="C770" s="74" t="s">
        <v>760</v>
      </c>
      <c r="D770" s="74" t="s">
        <v>533</v>
      </c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spans="1:24" ht="13.2" x14ac:dyDescent="0.25">
      <c r="A771" s="9" t="s">
        <v>99</v>
      </c>
      <c r="B771" s="9" t="s">
        <v>134</v>
      </c>
      <c r="C771" s="74" t="s">
        <v>761</v>
      </c>
      <c r="D771" s="74" t="s">
        <v>533</v>
      </c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spans="1:24" ht="13.2" x14ac:dyDescent="0.25">
      <c r="A772" s="9" t="s">
        <v>99</v>
      </c>
      <c r="B772" s="9" t="s">
        <v>135</v>
      </c>
      <c r="C772" s="74" t="s">
        <v>762</v>
      </c>
      <c r="D772" s="74" t="s">
        <v>533</v>
      </c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spans="1:24" ht="13.2" x14ac:dyDescent="0.25">
      <c r="A773" s="9" t="s">
        <v>99</v>
      </c>
      <c r="B773" s="9" t="s">
        <v>136</v>
      </c>
      <c r="C773" s="74" t="s">
        <v>763</v>
      </c>
      <c r="D773" s="74" t="s">
        <v>537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spans="1:24" ht="13.2" x14ac:dyDescent="0.25">
      <c r="A774" s="9" t="s">
        <v>99</v>
      </c>
      <c r="B774" s="9" t="s">
        <v>56</v>
      </c>
      <c r="C774" s="74" t="s">
        <v>315</v>
      </c>
      <c r="D774" s="74" t="s">
        <v>535</v>
      </c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spans="1:24" ht="13.2" x14ac:dyDescent="0.25">
      <c r="A775" s="9" t="s">
        <v>99</v>
      </c>
      <c r="B775" s="9" t="s">
        <v>337</v>
      </c>
      <c r="C775" s="74" t="s">
        <v>356</v>
      </c>
      <c r="D775" s="74" t="s">
        <v>535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spans="1:24" ht="13.2" x14ac:dyDescent="0.25">
      <c r="A776" s="9" t="s">
        <v>99</v>
      </c>
      <c r="B776" s="9" t="s">
        <v>470</v>
      </c>
      <c r="C776" s="74" t="s">
        <v>315</v>
      </c>
      <c r="D776" s="74" t="s">
        <v>535</v>
      </c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spans="1:24" ht="13.2" x14ac:dyDescent="0.25">
      <c r="A777" s="9" t="s">
        <v>99</v>
      </c>
      <c r="B777" s="9" t="s">
        <v>472</v>
      </c>
      <c r="C777" s="74" t="s">
        <v>764</v>
      </c>
      <c r="D777" s="74" t="s">
        <v>537</v>
      </c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spans="1:24" ht="13.2" x14ac:dyDescent="0.25">
      <c r="A778" s="9" t="s">
        <v>99</v>
      </c>
      <c r="B778" s="9" t="s">
        <v>66</v>
      </c>
      <c r="C778" s="90">
        <v>0.996</v>
      </c>
      <c r="D778" s="74" t="s">
        <v>533</v>
      </c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spans="1:24" ht="13.2" x14ac:dyDescent="0.25">
      <c r="A779" s="9" t="s">
        <v>99</v>
      </c>
      <c r="B779" s="9" t="s">
        <v>68</v>
      </c>
      <c r="C779" s="91">
        <v>1</v>
      </c>
      <c r="D779" s="74" t="s">
        <v>533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spans="1:24" ht="13.2" x14ac:dyDescent="0.25">
      <c r="A780" s="9" t="s">
        <v>99</v>
      </c>
      <c r="B780" s="9" t="s">
        <v>341</v>
      </c>
      <c r="C780" s="74" t="s">
        <v>315</v>
      </c>
      <c r="D780" s="74" t="s">
        <v>535</v>
      </c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spans="1:24" ht="13.2" x14ac:dyDescent="0.25">
      <c r="A781" s="9" t="s">
        <v>99</v>
      </c>
      <c r="B781" s="9" t="s">
        <v>72</v>
      </c>
      <c r="C781" s="74" t="s">
        <v>315</v>
      </c>
      <c r="D781" s="74" t="s">
        <v>535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spans="1:24" ht="13.2" x14ac:dyDescent="0.25">
      <c r="A782" s="9" t="s">
        <v>99</v>
      </c>
      <c r="B782" s="9" t="s">
        <v>342</v>
      </c>
      <c r="C782" s="74" t="s">
        <v>765</v>
      </c>
      <c r="D782" s="74" t="s">
        <v>533</v>
      </c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spans="1:24" ht="13.2" x14ac:dyDescent="0.25">
      <c r="A783" s="9" t="s">
        <v>99</v>
      </c>
      <c r="B783" s="9" t="s">
        <v>343</v>
      </c>
      <c r="C783" s="74" t="s">
        <v>315</v>
      </c>
      <c r="D783" s="74" t="s">
        <v>535</v>
      </c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spans="1:24" ht="13.2" x14ac:dyDescent="0.25">
      <c r="A784" s="9" t="s">
        <v>99</v>
      </c>
      <c r="B784" s="9" t="s">
        <v>344</v>
      </c>
      <c r="C784" s="74" t="s">
        <v>315</v>
      </c>
      <c r="D784" s="74" t="s">
        <v>535</v>
      </c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spans="1:24" ht="13.2" x14ac:dyDescent="0.25">
      <c r="A785" s="9" t="s">
        <v>99</v>
      </c>
      <c r="B785" s="9" t="s">
        <v>345</v>
      </c>
      <c r="C785" s="74" t="s">
        <v>315</v>
      </c>
      <c r="D785" s="74" t="s">
        <v>535</v>
      </c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spans="1:24" ht="13.2" x14ac:dyDescent="0.25">
      <c r="A786" s="9" t="s">
        <v>99</v>
      </c>
      <c r="B786" s="9" t="s">
        <v>346</v>
      </c>
      <c r="C786" s="74" t="s">
        <v>315</v>
      </c>
      <c r="D786" s="74" t="s">
        <v>535</v>
      </c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spans="1:24" ht="13.2" x14ac:dyDescent="0.25">
      <c r="A787" s="9" t="s">
        <v>99</v>
      </c>
      <c r="B787" s="9" t="s">
        <v>347</v>
      </c>
      <c r="C787" s="74" t="s">
        <v>356</v>
      </c>
      <c r="D787" s="74" t="s">
        <v>535</v>
      </c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spans="1:24" ht="13.2" x14ac:dyDescent="0.25">
      <c r="A788" s="9" t="s">
        <v>99</v>
      </c>
      <c r="B788" s="9" t="s">
        <v>348</v>
      </c>
      <c r="C788" s="74" t="s">
        <v>766</v>
      </c>
      <c r="D788" s="74" t="s">
        <v>537</v>
      </c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spans="1:24" ht="13.2" x14ac:dyDescent="0.25">
      <c r="A789" s="9" t="s">
        <v>99</v>
      </c>
      <c r="B789" s="9" t="s">
        <v>349</v>
      </c>
      <c r="C789" s="91">
        <v>0.75</v>
      </c>
      <c r="D789" s="74" t="s">
        <v>533</v>
      </c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spans="1:24" ht="13.2" x14ac:dyDescent="0.25">
      <c r="A790" s="9" t="s">
        <v>99</v>
      </c>
      <c r="B790" s="9" t="s">
        <v>150</v>
      </c>
      <c r="C790" s="90">
        <v>0.45200000000000001</v>
      </c>
      <c r="D790" s="74" t="s">
        <v>533</v>
      </c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spans="1:24" ht="13.2" x14ac:dyDescent="0.25">
      <c r="A791" s="9" t="s">
        <v>99</v>
      </c>
      <c r="B791" s="9" t="s">
        <v>351</v>
      </c>
      <c r="C791" s="74" t="s">
        <v>315</v>
      </c>
      <c r="D791" s="74" t="s">
        <v>535</v>
      </c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spans="1:24" ht="13.2" x14ac:dyDescent="0.25">
      <c r="A792" s="9" t="s">
        <v>99</v>
      </c>
      <c r="B792" s="9" t="s">
        <v>152</v>
      </c>
      <c r="C792" s="74" t="s">
        <v>315</v>
      </c>
      <c r="D792" s="74" t="s">
        <v>535</v>
      </c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spans="1:24" ht="13.2" x14ac:dyDescent="0.25">
      <c r="A793" s="9" t="s">
        <v>99</v>
      </c>
      <c r="B793" s="9" t="s">
        <v>78</v>
      </c>
      <c r="C793" s="74">
        <v>2024</v>
      </c>
      <c r="D793" s="74" t="s">
        <v>533</v>
      </c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spans="1:24" ht="13.2" x14ac:dyDescent="0.25">
      <c r="A794" s="9" t="s">
        <v>99</v>
      </c>
      <c r="B794" s="9" t="s">
        <v>80</v>
      </c>
      <c r="C794" s="74">
        <v>2030</v>
      </c>
      <c r="D794" s="74" t="s">
        <v>533</v>
      </c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spans="1:24" ht="13.2" x14ac:dyDescent="0.25">
      <c r="A795" s="9" t="s">
        <v>99</v>
      </c>
      <c r="B795" s="9" t="s">
        <v>82</v>
      </c>
      <c r="C795" s="74">
        <v>2030</v>
      </c>
      <c r="D795" s="74" t="s">
        <v>533</v>
      </c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spans="1:24" ht="13.2" x14ac:dyDescent="0.25">
      <c r="A796" s="9" t="s">
        <v>100</v>
      </c>
      <c r="B796" s="9" t="s">
        <v>2</v>
      </c>
      <c r="C796" s="90">
        <v>0.32700000000000001</v>
      </c>
      <c r="D796" s="74" t="s">
        <v>533</v>
      </c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spans="1:24" ht="13.2" x14ac:dyDescent="0.25">
      <c r="A797" s="9" t="s">
        <v>100</v>
      </c>
      <c r="B797" s="9" t="s">
        <v>4</v>
      </c>
      <c r="C797" s="74" t="s">
        <v>767</v>
      </c>
      <c r="D797" s="74" t="s">
        <v>537</v>
      </c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spans="1:24" ht="13.2" x14ac:dyDescent="0.25">
      <c r="A798" s="9" t="s">
        <v>100</v>
      </c>
      <c r="B798" s="9" t="s">
        <v>6</v>
      </c>
      <c r="C798" s="74" t="s">
        <v>768</v>
      </c>
      <c r="D798" s="74" t="s">
        <v>537</v>
      </c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spans="1:24" ht="13.2" x14ac:dyDescent="0.25">
      <c r="A799" s="9" t="s">
        <v>100</v>
      </c>
      <c r="B799" s="9" t="s">
        <v>8</v>
      </c>
      <c r="C799" s="91">
        <v>0.75</v>
      </c>
      <c r="D799" s="74" t="s">
        <v>533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spans="1:24" ht="13.2" x14ac:dyDescent="0.25">
      <c r="A800" s="9" t="s">
        <v>100</v>
      </c>
      <c r="B800" s="9" t="s">
        <v>10</v>
      </c>
      <c r="C800" s="74" t="s">
        <v>315</v>
      </c>
      <c r="D800" s="74" t="s">
        <v>535</v>
      </c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spans="1:24" ht="13.2" x14ac:dyDescent="0.25">
      <c r="A801" s="9" t="s">
        <v>100</v>
      </c>
      <c r="B801" s="9" t="s">
        <v>12</v>
      </c>
      <c r="C801" s="74" t="s">
        <v>315</v>
      </c>
      <c r="D801" s="74" t="s">
        <v>535</v>
      </c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spans="1:24" ht="13.2" x14ac:dyDescent="0.25">
      <c r="A802" s="9" t="s">
        <v>100</v>
      </c>
      <c r="B802" s="9" t="s">
        <v>14</v>
      </c>
      <c r="C802" s="74" t="s">
        <v>769</v>
      </c>
      <c r="D802" s="74" t="s">
        <v>537</v>
      </c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spans="1:24" ht="13.2" x14ac:dyDescent="0.25">
      <c r="A803" s="9" t="s">
        <v>100</v>
      </c>
      <c r="B803" s="9" t="s">
        <v>16</v>
      </c>
      <c r="C803" s="74" t="s">
        <v>770</v>
      </c>
      <c r="D803" s="74" t="s">
        <v>533</v>
      </c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spans="1:24" ht="13.2" x14ac:dyDescent="0.25">
      <c r="A804" s="9" t="s">
        <v>100</v>
      </c>
      <c r="B804" s="9" t="s">
        <v>18</v>
      </c>
      <c r="C804" s="74" t="s">
        <v>771</v>
      </c>
      <c r="D804" s="74" t="s">
        <v>535</v>
      </c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spans="1:24" ht="13.2" x14ac:dyDescent="0.25">
      <c r="A805" s="9" t="s">
        <v>100</v>
      </c>
      <c r="B805" s="9" t="s">
        <v>20</v>
      </c>
      <c r="C805" s="74" t="s">
        <v>772</v>
      </c>
      <c r="D805" s="74" t="s">
        <v>537</v>
      </c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spans="1:24" ht="13.2" x14ac:dyDescent="0.25">
      <c r="A806" s="9" t="s">
        <v>100</v>
      </c>
      <c r="B806" s="9" t="s">
        <v>22</v>
      </c>
      <c r="C806" s="74" t="s">
        <v>773</v>
      </c>
      <c r="D806" s="74" t="s">
        <v>537</v>
      </c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spans="1:24" ht="13.2" x14ac:dyDescent="0.25">
      <c r="A807" s="9" t="s">
        <v>100</v>
      </c>
      <c r="B807" s="9" t="s">
        <v>24</v>
      </c>
      <c r="C807" s="74" t="s">
        <v>774</v>
      </c>
      <c r="D807" s="74" t="s">
        <v>537</v>
      </c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spans="1:24" ht="13.2" x14ac:dyDescent="0.25">
      <c r="A808" s="9" t="s">
        <v>100</v>
      </c>
      <c r="B808" s="9" t="s">
        <v>26</v>
      </c>
      <c r="C808" s="74" t="s">
        <v>775</v>
      </c>
      <c r="D808" s="74" t="s">
        <v>533</v>
      </c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spans="1:24" ht="13.2" x14ac:dyDescent="0.25">
      <c r="A809" s="9" t="s">
        <v>100</v>
      </c>
      <c r="B809" s="9" t="s">
        <v>28</v>
      </c>
      <c r="C809" s="74" t="s">
        <v>315</v>
      </c>
      <c r="D809" s="74" t="s">
        <v>535</v>
      </c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spans="1:24" ht="13.2" x14ac:dyDescent="0.25">
      <c r="A810" s="9" t="s">
        <v>100</v>
      </c>
      <c r="B810" s="9" t="s">
        <v>30</v>
      </c>
      <c r="C810" s="74" t="s">
        <v>776</v>
      </c>
      <c r="D810" s="74" t="s">
        <v>533</v>
      </c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spans="1:24" ht="13.2" x14ac:dyDescent="0.25">
      <c r="A811" s="9" t="s">
        <v>100</v>
      </c>
      <c r="B811" s="9" t="s">
        <v>32</v>
      </c>
      <c r="C811" s="74" t="s">
        <v>777</v>
      </c>
      <c r="D811" s="74" t="s">
        <v>535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spans="1:24" ht="13.2" x14ac:dyDescent="0.25">
      <c r="A812" s="9" t="s">
        <v>100</v>
      </c>
      <c r="B812" s="9" t="s">
        <v>34</v>
      </c>
      <c r="C812" s="74" t="s">
        <v>778</v>
      </c>
      <c r="D812" s="74" t="s">
        <v>533</v>
      </c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spans="1:24" ht="13.2" x14ac:dyDescent="0.25">
      <c r="A813" s="9" t="s">
        <v>100</v>
      </c>
      <c r="B813" s="9" t="s">
        <v>36</v>
      </c>
      <c r="C813" s="74" t="s">
        <v>779</v>
      </c>
      <c r="D813" s="74" t="s">
        <v>533</v>
      </c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spans="1:24" ht="13.2" x14ac:dyDescent="0.25">
      <c r="A814" s="9" t="s">
        <v>100</v>
      </c>
      <c r="B814" s="9" t="s">
        <v>38</v>
      </c>
      <c r="C814" s="74" t="s">
        <v>315</v>
      </c>
      <c r="D814" s="74" t="s">
        <v>535</v>
      </c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spans="1:24" ht="13.2" x14ac:dyDescent="0.25">
      <c r="A815" s="9" t="s">
        <v>100</v>
      </c>
      <c r="B815" s="9" t="s">
        <v>40</v>
      </c>
      <c r="C815" s="74" t="s">
        <v>780</v>
      </c>
      <c r="D815" s="74" t="s">
        <v>537</v>
      </c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spans="1:24" ht="13.2" x14ac:dyDescent="0.25">
      <c r="A816" s="9" t="s">
        <v>100</v>
      </c>
      <c r="B816" s="9" t="s">
        <v>42</v>
      </c>
      <c r="C816" s="74" t="s">
        <v>315</v>
      </c>
      <c r="D816" s="74" t="s">
        <v>535</v>
      </c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spans="1:24" ht="13.2" x14ac:dyDescent="0.25">
      <c r="A817" s="9" t="s">
        <v>100</v>
      </c>
      <c r="B817" s="9" t="s">
        <v>44</v>
      </c>
      <c r="C817" s="74" t="s">
        <v>315</v>
      </c>
      <c r="D817" s="74" t="s">
        <v>535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spans="1:24" ht="13.2" x14ac:dyDescent="0.25">
      <c r="A818" s="9" t="s">
        <v>100</v>
      </c>
      <c r="B818" s="9" t="s">
        <v>46</v>
      </c>
      <c r="C818" s="74" t="s">
        <v>781</v>
      </c>
      <c r="D818" s="74" t="s">
        <v>533</v>
      </c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spans="1:24" ht="13.2" x14ac:dyDescent="0.25">
      <c r="A819" s="9" t="s">
        <v>100</v>
      </c>
      <c r="B819" s="9" t="s">
        <v>48</v>
      </c>
      <c r="C819" s="74" t="s">
        <v>356</v>
      </c>
      <c r="D819" s="74" t="s">
        <v>535</v>
      </c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spans="1:24" ht="13.2" x14ac:dyDescent="0.25">
      <c r="A820" s="9" t="s">
        <v>100</v>
      </c>
      <c r="B820" s="9" t="s">
        <v>124</v>
      </c>
      <c r="C820" s="74" t="s">
        <v>782</v>
      </c>
      <c r="D820" s="74" t="s">
        <v>537</v>
      </c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spans="1:24" ht="13.2" x14ac:dyDescent="0.25">
      <c r="A821" s="9" t="s">
        <v>100</v>
      </c>
      <c r="B821" s="9" t="s">
        <v>126</v>
      </c>
      <c r="C821" s="74" t="s">
        <v>783</v>
      </c>
      <c r="D821" s="74" t="s">
        <v>537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spans="1:24" ht="13.2" x14ac:dyDescent="0.25">
      <c r="A822" s="9" t="s">
        <v>100</v>
      </c>
      <c r="B822" s="9" t="s">
        <v>130</v>
      </c>
      <c r="C822" s="74" t="s">
        <v>315</v>
      </c>
      <c r="D822" s="74" t="s">
        <v>535</v>
      </c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spans="1:24" ht="13.2" x14ac:dyDescent="0.25">
      <c r="A823" s="9" t="s">
        <v>100</v>
      </c>
      <c r="B823" s="9" t="s">
        <v>131</v>
      </c>
      <c r="C823" s="74" t="s">
        <v>315</v>
      </c>
      <c r="D823" s="74" t="s">
        <v>535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spans="1:24" ht="13.2" x14ac:dyDescent="0.25">
      <c r="A824" s="9" t="s">
        <v>100</v>
      </c>
      <c r="B824" s="9" t="s">
        <v>132</v>
      </c>
      <c r="C824" s="74" t="s">
        <v>784</v>
      </c>
      <c r="D824" s="74" t="s">
        <v>533</v>
      </c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spans="1:24" ht="13.2" x14ac:dyDescent="0.25">
      <c r="A825" s="9" t="s">
        <v>100</v>
      </c>
      <c r="B825" s="9" t="s">
        <v>50</v>
      </c>
      <c r="C825" s="74" t="s">
        <v>785</v>
      </c>
      <c r="D825" s="74" t="s">
        <v>533</v>
      </c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spans="1:24" ht="13.2" x14ac:dyDescent="0.25">
      <c r="A826" s="9" t="s">
        <v>100</v>
      </c>
      <c r="B826" s="9" t="s">
        <v>52</v>
      </c>
      <c r="C826" s="74" t="s">
        <v>786</v>
      </c>
      <c r="D826" s="74" t="s">
        <v>533</v>
      </c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spans="1:24" ht="13.2" x14ac:dyDescent="0.25">
      <c r="A827" s="9" t="s">
        <v>100</v>
      </c>
      <c r="B827" s="9" t="s">
        <v>54</v>
      </c>
      <c r="C827" s="74" t="s">
        <v>787</v>
      </c>
      <c r="D827" s="74" t="s">
        <v>533</v>
      </c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spans="1:24" ht="13.2" x14ac:dyDescent="0.25">
      <c r="A828" s="9" t="s">
        <v>100</v>
      </c>
      <c r="B828" s="9" t="s">
        <v>134</v>
      </c>
      <c r="C828" s="74" t="s">
        <v>788</v>
      </c>
      <c r="D828" s="74" t="s">
        <v>533</v>
      </c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spans="1:24" ht="13.2" x14ac:dyDescent="0.25">
      <c r="A829" s="9" t="s">
        <v>100</v>
      </c>
      <c r="B829" s="9" t="s">
        <v>135</v>
      </c>
      <c r="C829" s="74" t="s">
        <v>789</v>
      </c>
      <c r="D829" s="74" t="s">
        <v>537</v>
      </c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spans="1:24" ht="13.2" x14ac:dyDescent="0.25">
      <c r="A830" s="9" t="s">
        <v>100</v>
      </c>
      <c r="B830" s="9" t="s">
        <v>136</v>
      </c>
      <c r="C830" s="74" t="s">
        <v>790</v>
      </c>
      <c r="D830" s="74" t="s">
        <v>537</v>
      </c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spans="1:24" ht="13.2" x14ac:dyDescent="0.25">
      <c r="A831" s="9" t="s">
        <v>100</v>
      </c>
      <c r="B831" s="9" t="s">
        <v>56</v>
      </c>
      <c r="C831" s="74" t="s">
        <v>791</v>
      </c>
      <c r="D831" s="74" t="s">
        <v>533</v>
      </c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spans="1:24" ht="13.2" x14ac:dyDescent="0.25">
      <c r="A832" s="9" t="s">
        <v>100</v>
      </c>
      <c r="B832" s="9" t="s">
        <v>337</v>
      </c>
      <c r="C832" s="74" t="s">
        <v>792</v>
      </c>
      <c r="D832" s="74" t="s">
        <v>537</v>
      </c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spans="1:24" ht="13.2" x14ac:dyDescent="0.25">
      <c r="A833" s="9" t="s">
        <v>100</v>
      </c>
      <c r="B833" s="9" t="s">
        <v>470</v>
      </c>
      <c r="C833" s="74" t="s">
        <v>315</v>
      </c>
      <c r="D833" s="74" t="s">
        <v>535</v>
      </c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spans="1:24" ht="13.2" x14ac:dyDescent="0.25">
      <c r="A834" s="9" t="s">
        <v>100</v>
      </c>
      <c r="B834" s="9" t="s">
        <v>472</v>
      </c>
      <c r="C834" s="74" t="s">
        <v>793</v>
      </c>
      <c r="D834" s="74" t="s">
        <v>537</v>
      </c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spans="1:24" ht="13.2" x14ac:dyDescent="0.25">
      <c r="A835" s="9" t="s">
        <v>100</v>
      </c>
      <c r="B835" s="9" t="s">
        <v>66</v>
      </c>
      <c r="C835" s="74" t="s">
        <v>794</v>
      </c>
      <c r="D835" s="74" t="s">
        <v>533</v>
      </c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spans="1:24" ht="13.2" x14ac:dyDescent="0.25">
      <c r="A836" s="9" t="s">
        <v>100</v>
      </c>
      <c r="B836" s="9" t="s">
        <v>68</v>
      </c>
      <c r="C836" s="91">
        <v>0.75</v>
      </c>
      <c r="D836" s="74" t="s">
        <v>533</v>
      </c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spans="1:24" ht="13.2" x14ac:dyDescent="0.25">
      <c r="A837" s="9" t="s">
        <v>100</v>
      </c>
      <c r="B837" s="9" t="s">
        <v>341</v>
      </c>
      <c r="C837" s="74" t="s">
        <v>315</v>
      </c>
      <c r="D837" s="74" t="s">
        <v>535</v>
      </c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spans="1:24" ht="13.2" x14ac:dyDescent="0.25">
      <c r="A838" s="9" t="s">
        <v>100</v>
      </c>
      <c r="B838" s="9" t="s">
        <v>72</v>
      </c>
      <c r="C838" s="74" t="s">
        <v>315</v>
      </c>
      <c r="D838" s="74" t="s">
        <v>535</v>
      </c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spans="1:24" ht="13.2" x14ac:dyDescent="0.25">
      <c r="A839" s="9" t="s">
        <v>100</v>
      </c>
      <c r="B839" s="9" t="s">
        <v>342</v>
      </c>
      <c r="C839" s="74" t="s">
        <v>795</v>
      </c>
      <c r="D839" s="74" t="s">
        <v>533</v>
      </c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spans="1:24" ht="13.2" x14ac:dyDescent="0.25">
      <c r="A840" s="9" t="s">
        <v>100</v>
      </c>
      <c r="B840" s="9" t="s">
        <v>343</v>
      </c>
      <c r="C840" s="74" t="s">
        <v>315</v>
      </c>
      <c r="D840" s="74" t="s">
        <v>535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spans="1:24" ht="13.2" x14ac:dyDescent="0.25">
      <c r="A841" s="9" t="s">
        <v>100</v>
      </c>
      <c r="B841" s="9" t="s">
        <v>344</v>
      </c>
      <c r="C841" s="74" t="s">
        <v>315</v>
      </c>
      <c r="D841" s="74" t="s">
        <v>535</v>
      </c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spans="1:24" ht="13.2" x14ac:dyDescent="0.25">
      <c r="A842" s="9" t="s">
        <v>100</v>
      </c>
      <c r="B842" s="9" t="s">
        <v>345</v>
      </c>
      <c r="C842" s="74" t="s">
        <v>315</v>
      </c>
      <c r="D842" s="74" t="s">
        <v>535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spans="1:24" ht="13.2" x14ac:dyDescent="0.25">
      <c r="A843" s="9" t="s">
        <v>100</v>
      </c>
      <c r="B843" s="9" t="s">
        <v>346</v>
      </c>
      <c r="C843" s="74" t="s">
        <v>315</v>
      </c>
      <c r="D843" s="74" t="s">
        <v>535</v>
      </c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spans="1:24" ht="13.2" x14ac:dyDescent="0.25">
      <c r="A844" s="9" t="s">
        <v>100</v>
      </c>
      <c r="B844" s="9" t="s">
        <v>347</v>
      </c>
      <c r="C844" s="74" t="s">
        <v>315</v>
      </c>
      <c r="D844" s="74" t="s">
        <v>535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spans="1:24" ht="13.2" x14ac:dyDescent="0.25">
      <c r="A845" s="9" t="s">
        <v>100</v>
      </c>
      <c r="B845" s="9" t="s">
        <v>348</v>
      </c>
      <c r="C845" s="74" t="s">
        <v>315</v>
      </c>
      <c r="D845" s="74" t="s">
        <v>535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spans="1:24" ht="13.2" x14ac:dyDescent="0.25">
      <c r="A846" s="9" t="s">
        <v>100</v>
      </c>
      <c r="B846" s="9" t="s">
        <v>349</v>
      </c>
      <c r="C846" s="74" t="s">
        <v>796</v>
      </c>
      <c r="D846" s="74" t="s">
        <v>535</v>
      </c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spans="1:24" ht="13.2" x14ac:dyDescent="0.25">
      <c r="A847" s="9" t="s">
        <v>100</v>
      </c>
      <c r="B847" s="9" t="s">
        <v>150</v>
      </c>
      <c r="C847" s="90">
        <v>8.0000000000000002E-3</v>
      </c>
      <c r="D847" s="74" t="s">
        <v>533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spans="1:24" ht="13.2" x14ac:dyDescent="0.25">
      <c r="A848" s="9" t="s">
        <v>100</v>
      </c>
      <c r="B848" s="9" t="s">
        <v>351</v>
      </c>
      <c r="C848" s="95">
        <v>9545</v>
      </c>
      <c r="D848" s="74" t="s">
        <v>533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spans="1:24" ht="13.2" x14ac:dyDescent="0.25">
      <c r="A849" s="9" t="s">
        <v>100</v>
      </c>
      <c r="B849" s="9" t="s">
        <v>152</v>
      </c>
      <c r="C849" s="74" t="s">
        <v>315</v>
      </c>
      <c r="D849" s="74" t="s">
        <v>535</v>
      </c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spans="1:24" ht="13.2" x14ac:dyDescent="0.25">
      <c r="A850" s="9" t="s">
        <v>100</v>
      </c>
      <c r="B850" s="9" t="s">
        <v>78</v>
      </c>
      <c r="C850" s="74">
        <v>2024</v>
      </c>
      <c r="D850" s="74" t="s">
        <v>533</v>
      </c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spans="1:24" ht="13.2" x14ac:dyDescent="0.25">
      <c r="A851" s="9" t="s">
        <v>100</v>
      </c>
      <c r="B851" s="9" t="s">
        <v>80</v>
      </c>
      <c r="C851" s="74">
        <v>2030</v>
      </c>
      <c r="D851" s="74" t="s">
        <v>533</v>
      </c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spans="1:24" ht="13.2" x14ac:dyDescent="0.25">
      <c r="A852" s="9" t="s">
        <v>100</v>
      </c>
      <c r="B852" s="9" t="s">
        <v>82</v>
      </c>
      <c r="C852" s="74">
        <v>2030</v>
      </c>
      <c r="D852" s="74" t="s">
        <v>797</v>
      </c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spans="1:24" ht="13.2" x14ac:dyDescent="0.25">
      <c r="A853" s="9" t="s">
        <v>101</v>
      </c>
      <c r="B853" s="9" t="s">
        <v>2</v>
      </c>
      <c r="C853" s="91">
        <v>0.36</v>
      </c>
      <c r="D853" s="74" t="s">
        <v>533</v>
      </c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spans="1:24" ht="13.2" x14ac:dyDescent="0.25">
      <c r="A854" s="9" t="s">
        <v>101</v>
      </c>
      <c r="B854" s="9" t="s">
        <v>4</v>
      </c>
      <c r="C854" s="74" t="s">
        <v>798</v>
      </c>
      <c r="D854" s="74" t="s">
        <v>533</v>
      </c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spans="1:24" ht="13.2" x14ac:dyDescent="0.25">
      <c r="A855" s="9" t="s">
        <v>101</v>
      </c>
      <c r="B855" s="9" t="s">
        <v>6</v>
      </c>
      <c r="C855" s="74" t="s">
        <v>799</v>
      </c>
      <c r="D855" s="74" t="s">
        <v>533</v>
      </c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spans="1:24" ht="13.2" x14ac:dyDescent="0.25">
      <c r="A856" s="9" t="s">
        <v>101</v>
      </c>
      <c r="B856" s="9" t="s">
        <v>8</v>
      </c>
      <c r="C856" s="91">
        <v>0.8</v>
      </c>
      <c r="D856" s="74" t="s">
        <v>533</v>
      </c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spans="1:24" ht="13.2" x14ac:dyDescent="0.25">
      <c r="A857" s="9" t="s">
        <v>101</v>
      </c>
      <c r="B857" s="9" t="s">
        <v>10</v>
      </c>
      <c r="C857" s="74" t="s">
        <v>315</v>
      </c>
      <c r="D857" s="74" t="s">
        <v>535</v>
      </c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spans="1:24" ht="13.2" x14ac:dyDescent="0.25">
      <c r="A858" s="9" t="s">
        <v>101</v>
      </c>
      <c r="B858" s="9" t="s">
        <v>12</v>
      </c>
      <c r="C858" s="74" t="s">
        <v>315</v>
      </c>
      <c r="D858" s="74" t="s">
        <v>535</v>
      </c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spans="1:24" ht="13.2" x14ac:dyDescent="0.25">
      <c r="A859" s="9" t="s">
        <v>101</v>
      </c>
      <c r="B859" s="9" t="s">
        <v>14</v>
      </c>
      <c r="C859" s="74" t="s">
        <v>800</v>
      </c>
      <c r="D859" s="74" t="s">
        <v>533</v>
      </c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spans="1:24" ht="13.2" x14ac:dyDescent="0.25">
      <c r="A860" s="9" t="s">
        <v>101</v>
      </c>
      <c r="B860" s="9" t="s">
        <v>16</v>
      </c>
      <c r="C860" s="74" t="s">
        <v>801</v>
      </c>
      <c r="D860" s="74" t="s">
        <v>533</v>
      </c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spans="1:24" ht="13.2" x14ac:dyDescent="0.25">
      <c r="A861" s="9" t="s">
        <v>101</v>
      </c>
      <c r="B861" s="9" t="s">
        <v>18</v>
      </c>
      <c r="C861" s="74" t="s">
        <v>745</v>
      </c>
      <c r="D861" s="74" t="s">
        <v>535</v>
      </c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spans="1:24" ht="13.2" x14ac:dyDescent="0.25">
      <c r="A862" s="9" t="s">
        <v>101</v>
      </c>
      <c r="B862" s="9" t="s">
        <v>20</v>
      </c>
      <c r="C862" s="74" t="s">
        <v>315</v>
      </c>
      <c r="D862" s="74" t="s">
        <v>535</v>
      </c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spans="1:24" ht="13.2" x14ac:dyDescent="0.25">
      <c r="A863" s="9" t="s">
        <v>101</v>
      </c>
      <c r="B863" s="9" t="s">
        <v>22</v>
      </c>
      <c r="C863" s="74" t="s">
        <v>802</v>
      </c>
      <c r="D863" s="74" t="s">
        <v>537</v>
      </c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spans="1:24" ht="13.2" x14ac:dyDescent="0.25">
      <c r="A864" s="9" t="s">
        <v>101</v>
      </c>
      <c r="B864" s="9" t="s">
        <v>24</v>
      </c>
      <c r="C864" s="74" t="s">
        <v>803</v>
      </c>
      <c r="D864" s="74" t="s">
        <v>537</v>
      </c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spans="1:24" ht="13.2" x14ac:dyDescent="0.25">
      <c r="A865" s="9" t="s">
        <v>101</v>
      </c>
      <c r="B865" s="9" t="s">
        <v>26</v>
      </c>
      <c r="C865" s="74" t="s">
        <v>804</v>
      </c>
      <c r="D865" s="74" t="s">
        <v>533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spans="1:24" ht="13.2" x14ac:dyDescent="0.25">
      <c r="A866" s="9" t="s">
        <v>101</v>
      </c>
      <c r="B866" s="9" t="s">
        <v>28</v>
      </c>
      <c r="C866" s="74" t="s">
        <v>805</v>
      </c>
      <c r="D866" s="74" t="s">
        <v>537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spans="1:24" ht="13.2" x14ac:dyDescent="0.25">
      <c r="A867" s="9" t="s">
        <v>101</v>
      </c>
      <c r="B867" s="9" t="s">
        <v>30</v>
      </c>
      <c r="C867" s="74" t="s">
        <v>806</v>
      </c>
      <c r="D867" s="74" t="s">
        <v>537</v>
      </c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spans="1:24" ht="13.2" x14ac:dyDescent="0.25">
      <c r="A868" s="9" t="s">
        <v>101</v>
      </c>
      <c r="B868" s="9" t="s">
        <v>32</v>
      </c>
      <c r="C868" s="74" t="s">
        <v>315</v>
      </c>
      <c r="D868" s="74" t="s">
        <v>535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spans="1:24" ht="13.2" x14ac:dyDescent="0.25">
      <c r="A869" s="9" t="s">
        <v>101</v>
      </c>
      <c r="B869" s="9" t="s">
        <v>34</v>
      </c>
      <c r="C869" s="74" t="s">
        <v>315</v>
      </c>
      <c r="D869" s="74" t="s">
        <v>535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spans="1:24" ht="13.2" x14ac:dyDescent="0.25">
      <c r="A870" s="9" t="s">
        <v>101</v>
      </c>
      <c r="B870" s="9" t="s">
        <v>36</v>
      </c>
      <c r="C870" s="74" t="s">
        <v>315</v>
      </c>
      <c r="D870" s="74" t="s">
        <v>535</v>
      </c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spans="1:24" ht="13.2" x14ac:dyDescent="0.25">
      <c r="A871" s="9" t="s">
        <v>101</v>
      </c>
      <c r="B871" s="9" t="s">
        <v>38</v>
      </c>
      <c r="C871" s="74" t="s">
        <v>315</v>
      </c>
      <c r="D871" s="74" t="s">
        <v>535</v>
      </c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spans="1:24" ht="13.2" x14ac:dyDescent="0.25">
      <c r="A872" s="9" t="s">
        <v>101</v>
      </c>
      <c r="B872" s="9" t="s">
        <v>40</v>
      </c>
      <c r="C872" s="74" t="s">
        <v>315</v>
      </c>
      <c r="D872" s="74" t="s">
        <v>535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spans="1:24" ht="13.2" x14ac:dyDescent="0.25">
      <c r="A873" s="9" t="s">
        <v>101</v>
      </c>
      <c r="B873" s="9" t="s">
        <v>42</v>
      </c>
      <c r="C873" s="74" t="s">
        <v>315</v>
      </c>
      <c r="D873" s="74" t="s">
        <v>535</v>
      </c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spans="1:24" ht="13.2" x14ac:dyDescent="0.25">
      <c r="A874" s="9" t="s">
        <v>101</v>
      </c>
      <c r="B874" s="9" t="s">
        <v>44</v>
      </c>
      <c r="C874" s="74" t="s">
        <v>315</v>
      </c>
      <c r="D874" s="74" t="s">
        <v>535</v>
      </c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spans="1:24" ht="13.2" x14ac:dyDescent="0.25">
      <c r="A875" s="9" t="s">
        <v>101</v>
      </c>
      <c r="B875" s="9" t="s">
        <v>46</v>
      </c>
      <c r="C875" s="74" t="s">
        <v>807</v>
      </c>
      <c r="D875" s="74" t="s">
        <v>537</v>
      </c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spans="1:24" ht="13.2" x14ac:dyDescent="0.25">
      <c r="A876" s="9" t="s">
        <v>101</v>
      </c>
      <c r="B876" s="9" t="s">
        <v>48</v>
      </c>
      <c r="C876" s="74" t="s">
        <v>808</v>
      </c>
      <c r="D876" s="74" t="s">
        <v>533</v>
      </c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spans="1:24" ht="13.2" x14ac:dyDescent="0.25">
      <c r="A877" s="9" t="s">
        <v>101</v>
      </c>
      <c r="B877" s="9" t="s">
        <v>124</v>
      </c>
      <c r="C877" s="74" t="s">
        <v>809</v>
      </c>
      <c r="D877" s="74" t="s">
        <v>537</v>
      </c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spans="1:24" ht="13.2" x14ac:dyDescent="0.25">
      <c r="A878" s="9" t="s">
        <v>101</v>
      </c>
      <c r="B878" s="9" t="s">
        <v>126</v>
      </c>
      <c r="C878" s="74" t="s">
        <v>810</v>
      </c>
      <c r="D878" s="74" t="s">
        <v>537</v>
      </c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spans="1:24" ht="13.2" x14ac:dyDescent="0.25">
      <c r="A879" s="9" t="s">
        <v>101</v>
      </c>
      <c r="B879" s="9" t="s">
        <v>130</v>
      </c>
      <c r="C879" s="74" t="s">
        <v>811</v>
      </c>
      <c r="D879" s="74" t="s">
        <v>537</v>
      </c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spans="1:24" ht="13.2" x14ac:dyDescent="0.25">
      <c r="A880" s="9" t="s">
        <v>101</v>
      </c>
      <c r="B880" s="9" t="s">
        <v>131</v>
      </c>
      <c r="C880" s="74" t="s">
        <v>315</v>
      </c>
      <c r="D880" s="74" t="s">
        <v>535</v>
      </c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spans="1:24" ht="13.2" x14ac:dyDescent="0.25">
      <c r="A881" s="9" t="s">
        <v>101</v>
      </c>
      <c r="B881" s="9" t="s">
        <v>132</v>
      </c>
      <c r="C881" s="74" t="s">
        <v>591</v>
      </c>
      <c r="D881" s="74" t="s">
        <v>535</v>
      </c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spans="1:24" ht="13.2" x14ac:dyDescent="0.25">
      <c r="A882" s="9" t="s">
        <v>101</v>
      </c>
      <c r="B882" s="9" t="s">
        <v>50</v>
      </c>
      <c r="C882" s="74" t="s">
        <v>812</v>
      </c>
      <c r="D882" s="74" t="s">
        <v>533</v>
      </c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spans="1:24" ht="13.2" x14ac:dyDescent="0.25">
      <c r="A883" s="9" t="s">
        <v>101</v>
      </c>
      <c r="B883" s="9" t="s">
        <v>52</v>
      </c>
      <c r="C883" s="74" t="s">
        <v>813</v>
      </c>
      <c r="D883" s="74" t="s">
        <v>537</v>
      </c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spans="1:24" ht="13.2" x14ac:dyDescent="0.25">
      <c r="A884" s="9" t="s">
        <v>101</v>
      </c>
      <c r="B884" s="9" t="s">
        <v>54</v>
      </c>
      <c r="C884" s="74" t="s">
        <v>814</v>
      </c>
      <c r="D884" s="74" t="s">
        <v>537</v>
      </c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spans="1:24" ht="13.2" x14ac:dyDescent="0.25">
      <c r="A885" s="9" t="s">
        <v>101</v>
      </c>
      <c r="B885" s="9" t="s">
        <v>134</v>
      </c>
      <c r="C885" s="74" t="s">
        <v>815</v>
      </c>
      <c r="D885" s="74" t="s">
        <v>535</v>
      </c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spans="1:24" ht="13.2" x14ac:dyDescent="0.25">
      <c r="A886" s="9" t="s">
        <v>101</v>
      </c>
      <c r="B886" s="9" t="s">
        <v>135</v>
      </c>
      <c r="C886" s="74" t="s">
        <v>815</v>
      </c>
      <c r="D886" s="74" t="s">
        <v>535</v>
      </c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spans="1:24" ht="13.2" x14ac:dyDescent="0.25">
      <c r="A887" s="9" t="s">
        <v>101</v>
      </c>
      <c r="B887" s="9" t="s">
        <v>136</v>
      </c>
      <c r="C887" s="74" t="s">
        <v>816</v>
      </c>
      <c r="D887" s="74" t="s">
        <v>537</v>
      </c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spans="1:24" ht="13.2" x14ac:dyDescent="0.25">
      <c r="A888" s="9" t="s">
        <v>101</v>
      </c>
      <c r="B888" s="9" t="s">
        <v>56</v>
      </c>
      <c r="C888" s="74" t="s">
        <v>817</v>
      </c>
      <c r="D888" s="74" t="s">
        <v>537</v>
      </c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spans="1:24" ht="13.2" x14ac:dyDescent="0.25">
      <c r="A889" s="9" t="s">
        <v>101</v>
      </c>
      <c r="B889" s="9" t="s">
        <v>337</v>
      </c>
      <c r="C889" s="74" t="s">
        <v>356</v>
      </c>
      <c r="D889" s="74" t="s">
        <v>535</v>
      </c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spans="1:24" ht="13.2" x14ac:dyDescent="0.25">
      <c r="A890" s="9" t="s">
        <v>101</v>
      </c>
      <c r="B890" s="9" t="s">
        <v>470</v>
      </c>
      <c r="C890" s="74" t="s">
        <v>818</v>
      </c>
      <c r="D890" s="74" t="s">
        <v>533</v>
      </c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spans="1:24" ht="13.2" x14ac:dyDescent="0.25">
      <c r="A891" s="9" t="s">
        <v>101</v>
      </c>
      <c r="B891" s="9" t="s">
        <v>472</v>
      </c>
      <c r="C891" s="74" t="s">
        <v>473</v>
      </c>
      <c r="D891" s="74" t="s">
        <v>533</v>
      </c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spans="1:24" ht="13.2" x14ac:dyDescent="0.25">
      <c r="A892" s="9" t="s">
        <v>101</v>
      </c>
      <c r="B892" s="9" t="s">
        <v>66</v>
      </c>
      <c r="C892" s="91">
        <v>0.45</v>
      </c>
      <c r="D892" s="74" t="s">
        <v>533</v>
      </c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spans="1:24" ht="13.2" x14ac:dyDescent="0.25">
      <c r="A893" s="9" t="s">
        <v>101</v>
      </c>
      <c r="B893" s="9" t="s">
        <v>68</v>
      </c>
      <c r="C893" s="74" t="s">
        <v>819</v>
      </c>
      <c r="D893" s="74" t="s">
        <v>533</v>
      </c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spans="1:24" ht="13.2" x14ac:dyDescent="0.25">
      <c r="A894" s="9" t="s">
        <v>101</v>
      </c>
      <c r="B894" s="9" t="s">
        <v>341</v>
      </c>
      <c r="C894" s="74" t="s">
        <v>315</v>
      </c>
      <c r="D894" s="74" t="s">
        <v>535</v>
      </c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spans="1:24" ht="13.2" x14ac:dyDescent="0.25">
      <c r="A895" s="9" t="s">
        <v>101</v>
      </c>
      <c r="B895" s="9" t="s">
        <v>72</v>
      </c>
      <c r="C895" s="74" t="s">
        <v>315</v>
      </c>
      <c r="D895" s="74" t="s">
        <v>535</v>
      </c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spans="1:24" ht="13.2" x14ac:dyDescent="0.25">
      <c r="A896" s="9" t="s">
        <v>101</v>
      </c>
      <c r="B896" s="9" t="s">
        <v>342</v>
      </c>
      <c r="C896" s="91">
        <v>0.14000000000000001</v>
      </c>
      <c r="D896" s="74" t="s">
        <v>533</v>
      </c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spans="1:24" ht="13.2" x14ac:dyDescent="0.25">
      <c r="A897" s="9" t="s">
        <v>101</v>
      </c>
      <c r="B897" s="9" t="s">
        <v>343</v>
      </c>
      <c r="C897" s="74" t="s">
        <v>315</v>
      </c>
      <c r="D897" s="74" t="s">
        <v>535</v>
      </c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spans="1:24" ht="13.2" x14ac:dyDescent="0.25">
      <c r="A898" s="9" t="s">
        <v>101</v>
      </c>
      <c r="B898" s="9" t="s">
        <v>344</v>
      </c>
      <c r="C898" s="74" t="s">
        <v>315</v>
      </c>
      <c r="D898" s="74" t="s">
        <v>535</v>
      </c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spans="1:24" ht="13.2" x14ac:dyDescent="0.25">
      <c r="A899" s="9" t="s">
        <v>101</v>
      </c>
      <c r="B899" s="9" t="s">
        <v>345</v>
      </c>
      <c r="C899" s="74" t="s">
        <v>422</v>
      </c>
      <c r="D899" s="74" t="s">
        <v>537</v>
      </c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spans="1:24" ht="13.2" x14ac:dyDescent="0.25">
      <c r="A900" s="9" t="s">
        <v>101</v>
      </c>
      <c r="B900" s="9" t="s">
        <v>346</v>
      </c>
      <c r="C900" s="74" t="s">
        <v>422</v>
      </c>
      <c r="D900" s="74" t="s">
        <v>537</v>
      </c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spans="1:24" ht="13.2" x14ac:dyDescent="0.25">
      <c r="A901" s="9" t="s">
        <v>101</v>
      </c>
      <c r="B901" s="9" t="s">
        <v>347</v>
      </c>
      <c r="C901" s="74" t="s">
        <v>422</v>
      </c>
      <c r="D901" s="74" t="s">
        <v>537</v>
      </c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spans="1:24" ht="13.2" x14ac:dyDescent="0.25">
      <c r="A902" s="9" t="s">
        <v>101</v>
      </c>
      <c r="B902" s="9" t="s">
        <v>348</v>
      </c>
      <c r="C902" s="74" t="s">
        <v>422</v>
      </c>
      <c r="D902" s="74" t="s">
        <v>537</v>
      </c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spans="1:24" ht="13.2" x14ac:dyDescent="0.25">
      <c r="A903" s="9" t="s">
        <v>101</v>
      </c>
      <c r="B903" s="9" t="s">
        <v>349</v>
      </c>
      <c r="C903" s="91">
        <v>0.5</v>
      </c>
      <c r="D903" s="74" t="s">
        <v>533</v>
      </c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spans="1:24" ht="13.2" x14ac:dyDescent="0.25">
      <c r="A904" s="9" t="s">
        <v>101</v>
      </c>
      <c r="B904" s="9" t="s">
        <v>150</v>
      </c>
      <c r="C904" s="91">
        <v>0.14000000000000001</v>
      </c>
      <c r="D904" s="74" t="s">
        <v>533</v>
      </c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spans="1:24" ht="13.2" x14ac:dyDescent="0.25">
      <c r="A905" s="9" t="s">
        <v>101</v>
      </c>
      <c r="B905" s="9" t="s">
        <v>351</v>
      </c>
      <c r="C905" s="74" t="s">
        <v>820</v>
      </c>
      <c r="D905" s="74" t="s">
        <v>533</v>
      </c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spans="1:24" ht="13.2" x14ac:dyDescent="0.25">
      <c r="A906" s="9" t="s">
        <v>101</v>
      </c>
      <c r="B906" s="9" t="s">
        <v>152</v>
      </c>
      <c r="C906" s="74" t="s">
        <v>821</v>
      </c>
      <c r="D906" s="74" t="s">
        <v>533</v>
      </c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spans="1:24" ht="13.2" x14ac:dyDescent="0.25">
      <c r="A907" s="9" t="s">
        <v>101</v>
      </c>
      <c r="B907" s="9" t="s">
        <v>78</v>
      </c>
      <c r="C907" s="74">
        <v>2024</v>
      </c>
      <c r="D907" s="74" t="s">
        <v>533</v>
      </c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spans="1:24" ht="13.2" x14ac:dyDescent="0.25">
      <c r="A908" s="9" t="s">
        <v>101</v>
      </c>
      <c r="B908" s="9" t="s">
        <v>80</v>
      </c>
      <c r="C908" s="74">
        <v>2030</v>
      </c>
      <c r="D908" s="74" t="s">
        <v>533</v>
      </c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spans="1:24" ht="13.2" x14ac:dyDescent="0.25">
      <c r="A909" s="9" t="s">
        <v>101</v>
      </c>
      <c r="B909" s="9" t="s">
        <v>82</v>
      </c>
      <c r="C909" s="74">
        <v>2030</v>
      </c>
      <c r="D909" s="74" t="s">
        <v>822</v>
      </c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spans="1:24" ht="13.2" x14ac:dyDescent="0.25">
      <c r="A910" s="9" t="s">
        <v>102</v>
      </c>
      <c r="B910" s="9" t="s">
        <v>2</v>
      </c>
      <c r="C910" s="74" t="s">
        <v>823</v>
      </c>
      <c r="D910" s="74" t="s">
        <v>533</v>
      </c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spans="1:24" ht="13.2" x14ac:dyDescent="0.25">
      <c r="A911" s="9" t="s">
        <v>102</v>
      </c>
      <c r="B911" s="9" t="s">
        <v>4</v>
      </c>
      <c r="C911" s="74" t="s">
        <v>824</v>
      </c>
      <c r="D911" s="74" t="s">
        <v>533</v>
      </c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spans="1:24" ht="13.2" x14ac:dyDescent="0.25">
      <c r="A912" s="9" t="s">
        <v>102</v>
      </c>
      <c r="B912" s="9" t="s">
        <v>6</v>
      </c>
      <c r="C912" s="74" t="s">
        <v>825</v>
      </c>
      <c r="D912" s="74" t="s">
        <v>533</v>
      </c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spans="1:24" ht="13.2" x14ac:dyDescent="0.25">
      <c r="A913" s="9" t="s">
        <v>102</v>
      </c>
      <c r="B913" s="9" t="s">
        <v>8</v>
      </c>
      <c r="C913" s="91">
        <v>0.7</v>
      </c>
      <c r="D913" s="74" t="s">
        <v>533</v>
      </c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spans="1:24" ht="13.2" x14ac:dyDescent="0.25">
      <c r="A914" s="9" t="s">
        <v>102</v>
      </c>
      <c r="B914" s="9" t="s">
        <v>10</v>
      </c>
      <c r="C914" s="74" t="s">
        <v>826</v>
      </c>
      <c r="D914" s="74" t="s">
        <v>537</v>
      </c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spans="1:24" ht="13.2" x14ac:dyDescent="0.25">
      <c r="A915" s="9" t="s">
        <v>102</v>
      </c>
      <c r="B915" s="9" t="s">
        <v>12</v>
      </c>
      <c r="C915" s="74" t="s">
        <v>827</v>
      </c>
      <c r="D915" s="74" t="s">
        <v>537</v>
      </c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spans="1:24" ht="13.2" x14ac:dyDescent="0.25">
      <c r="A916" s="9" t="s">
        <v>102</v>
      </c>
      <c r="B916" s="9" t="s">
        <v>14</v>
      </c>
      <c r="C916" s="74" t="s">
        <v>828</v>
      </c>
      <c r="D916" s="74" t="s">
        <v>537</v>
      </c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spans="1:24" ht="13.2" x14ac:dyDescent="0.25">
      <c r="A917" s="9" t="s">
        <v>102</v>
      </c>
      <c r="B917" s="9" t="s">
        <v>16</v>
      </c>
      <c r="C917" s="74" t="s">
        <v>829</v>
      </c>
      <c r="D917" s="74" t="s">
        <v>533</v>
      </c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spans="1:24" ht="13.2" x14ac:dyDescent="0.25">
      <c r="A918" s="9" t="s">
        <v>102</v>
      </c>
      <c r="B918" s="9" t="s">
        <v>18</v>
      </c>
      <c r="C918" s="74" t="s">
        <v>830</v>
      </c>
      <c r="D918" s="74" t="s">
        <v>533</v>
      </c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spans="1:24" ht="13.2" x14ac:dyDescent="0.25">
      <c r="A919" s="9" t="s">
        <v>102</v>
      </c>
      <c r="B919" s="9" t="s">
        <v>20</v>
      </c>
      <c r="C919" s="74" t="s">
        <v>1235</v>
      </c>
      <c r="D919" s="74" t="s">
        <v>533</v>
      </c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spans="1:24" ht="13.2" x14ac:dyDescent="0.25">
      <c r="A920" s="9" t="s">
        <v>102</v>
      </c>
      <c r="B920" s="9" t="s">
        <v>22</v>
      </c>
      <c r="C920" s="74" t="s">
        <v>831</v>
      </c>
      <c r="D920" s="74" t="s">
        <v>537</v>
      </c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spans="1:24" ht="13.2" x14ac:dyDescent="0.25">
      <c r="A921" s="9" t="s">
        <v>102</v>
      </c>
      <c r="B921" s="9" t="s">
        <v>24</v>
      </c>
      <c r="C921" s="74" t="s">
        <v>832</v>
      </c>
      <c r="D921" s="74" t="s">
        <v>537</v>
      </c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spans="1:24" ht="13.2" x14ac:dyDescent="0.25">
      <c r="A922" s="9" t="s">
        <v>102</v>
      </c>
      <c r="B922" s="9" t="s">
        <v>26</v>
      </c>
      <c r="C922" s="74" t="s">
        <v>833</v>
      </c>
      <c r="D922" s="74" t="s">
        <v>537</v>
      </c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spans="1:24" ht="13.2" x14ac:dyDescent="0.25">
      <c r="A923" s="9" t="s">
        <v>102</v>
      </c>
      <c r="B923" s="9" t="s">
        <v>28</v>
      </c>
      <c r="C923" s="74" t="s">
        <v>834</v>
      </c>
      <c r="D923" s="74" t="s">
        <v>535</v>
      </c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spans="1:24" ht="13.2" x14ac:dyDescent="0.25">
      <c r="A924" s="9" t="s">
        <v>102</v>
      </c>
      <c r="B924" s="9" t="s">
        <v>30</v>
      </c>
      <c r="C924" s="74" t="s">
        <v>835</v>
      </c>
      <c r="D924" s="74" t="s">
        <v>535</v>
      </c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spans="1:24" ht="13.2" x14ac:dyDescent="0.25">
      <c r="A925" s="9" t="s">
        <v>102</v>
      </c>
      <c r="B925" s="9" t="s">
        <v>32</v>
      </c>
      <c r="C925" s="74" t="s">
        <v>315</v>
      </c>
      <c r="D925" s="74" t="s">
        <v>535</v>
      </c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spans="1:24" ht="13.2" x14ac:dyDescent="0.25">
      <c r="A926" s="9" t="s">
        <v>102</v>
      </c>
      <c r="B926" s="9" t="s">
        <v>34</v>
      </c>
      <c r="C926" s="74" t="s">
        <v>315</v>
      </c>
      <c r="D926" s="74" t="s">
        <v>535</v>
      </c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spans="1:24" ht="13.2" x14ac:dyDescent="0.25">
      <c r="A927" s="9" t="s">
        <v>102</v>
      </c>
      <c r="B927" s="9" t="s">
        <v>36</v>
      </c>
      <c r="C927" s="74" t="s">
        <v>315</v>
      </c>
      <c r="D927" s="74" t="s">
        <v>535</v>
      </c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spans="1:24" ht="13.2" x14ac:dyDescent="0.25">
      <c r="A928" s="9" t="s">
        <v>102</v>
      </c>
      <c r="B928" s="9" t="s">
        <v>38</v>
      </c>
      <c r="C928" s="74" t="s">
        <v>836</v>
      </c>
      <c r="D928" s="74" t="s">
        <v>533</v>
      </c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spans="1:24" ht="13.2" x14ac:dyDescent="0.25">
      <c r="A929" s="9" t="s">
        <v>102</v>
      </c>
      <c r="B929" s="9" t="s">
        <v>40</v>
      </c>
      <c r="C929" s="74" t="s">
        <v>837</v>
      </c>
      <c r="D929" s="74" t="s">
        <v>533</v>
      </c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spans="1:24" ht="13.2" x14ac:dyDescent="0.25">
      <c r="A930" s="9" t="s">
        <v>102</v>
      </c>
      <c r="B930" s="9" t="s">
        <v>42</v>
      </c>
      <c r="C930" s="74" t="s">
        <v>838</v>
      </c>
      <c r="D930" s="74" t="s">
        <v>533</v>
      </c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spans="1:24" ht="13.2" x14ac:dyDescent="0.25">
      <c r="A931" s="9" t="s">
        <v>102</v>
      </c>
      <c r="B931" s="9" t="s">
        <v>44</v>
      </c>
      <c r="C931" s="74" t="s">
        <v>839</v>
      </c>
      <c r="D931" s="74" t="s">
        <v>533</v>
      </c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spans="1:24" ht="13.2" x14ac:dyDescent="0.25">
      <c r="A932" s="9" t="s">
        <v>102</v>
      </c>
      <c r="B932" s="9" t="s">
        <v>46</v>
      </c>
      <c r="C932" s="74" t="s">
        <v>356</v>
      </c>
      <c r="D932" s="74" t="s">
        <v>535</v>
      </c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spans="1:24" ht="13.2" x14ac:dyDescent="0.25">
      <c r="A933" s="9" t="s">
        <v>102</v>
      </c>
      <c r="B933" s="9" t="s">
        <v>48</v>
      </c>
      <c r="C933" s="74" t="s">
        <v>356</v>
      </c>
      <c r="D933" s="74" t="s">
        <v>535</v>
      </c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spans="1:24" ht="13.2" x14ac:dyDescent="0.25">
      <c r="A934" s="9" t="s">
        <v>102</v>
      </c>
      <c r="B934" s="9" t="s">
        <v>124</v>
      </c>
      <c r="C934" s="74" t="s">
        <v>840</v>
      </c>
      <c r="D934" s="74" t="s">
        <v>533</v>
      </c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spans="1:24" ht="13.2" x14ac:dyDescent="0.25">
      <c r="A935" s="9" t="s">
        <v>102</v>
      </c>
      <c r="B935" s="9" t="s">
        <v>126</v>
      </c>
      <c r="C935" s="74" t="s">
        <v>841</v>
      </c>
      <c r="D935" s="74" t="s">
        <v>533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spans="1:24" ht="13.2" x14ac:dyDescent="0.25">
      <c r="A936" s="9" t="s">
        <v>102</v>
      </c>
      <c r="B936" s="9" t="s">
        <v>130</v>
      </c>
      <c r="C936" s="74" t="s">
        <v>842</v>
      </c>
      <c r="D936" s="74" t="s">
        <v>533</v>
      </c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spans="1:24" ht="13.2" x14ac:dyDescent="0.25">
      <c r="A937" s="9" t="s">
        <v>102</v>
      </c>
      <c r="B937" s="9" t="s">
        <v>131</v>
      </c>
      <c r="C937" s="74" t="s">
        <v>315</v>
      </c>
      <c r="D937" s="74" t="s">
        <v>535</v>
      </c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spans="1:24" ht="13.2" x14ac:dyDescent="0.25">
      <c r="A938" s="9" t="s">
        <v>102</v>
      </c>
      <c r="B938" s="9" t="s">
        <v>132</v>
      </c>
      <c r="C938" s="74" t="s">
        <v>843</v>
      </c>
      <c r="D938" s="74" t="s">
        <v>537</v>
      </c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spans="1:24" ht="13.2" x14ac:dyDescent="0.25">
      <c r="A939" s="9" t="s">
        <v>102</v>
      </c>
      <c r="B939" s="9" t="s">
        <v>50</v>
      </c>
      <c r="C939" s="74" t="s">
        <v>844</v>
      </c>
      <c r="D939" s="74" t="s">
        <v>533</v>
      </c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spans="1:24" ht="13.2" x14ac:dyDescent="0.25">
      <c r="A940" s="9" t="s">
        <v>102</v>
      </c>
      <c r="B940" s="9" t="s">
        <v>52</v>
      </c>
      <c r="C940" s="74" t="s">
        <v>845</v>
      </c>
      <c r="D940" s="74" t="s">
        <v>535</v>
      </c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spans="1:24" ht="13.2" x14ac:dyDescent="0.25">
      <c r="A941" s="9" t="s">
        <v>102</v>
      </c>
      <c r="B941" s="9" t="s">
        <v>54</v>
      </c>
      <c r="C941" s="74" t="s">
        <v>846</v>
      </c>
      <c r="D941" s="74" t="s">
        <v>533</v>
      </c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spans="1:24" ht="13.2" x14ac:dyDescent="0.25">
      <c r="A942" s="9" t="s">
        <v>102</v>
      </c>
      <c r="B942" s="9" t="s">
        <v>134</v>
      </c>
      <c r="C942" s="74" t="s">
        <v>815</v>
      </c>
      <c r="D942" s="74" t="s">
        <v>535</v>
      </c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spans="1:24" ht="13.2" x14ac:dyDescent="0.25">
      <c r="A943" s="9" t="s">
        <v>102</v>
      </c>
      <c r="B943" s="9" t="s">
        <v>135</v>
      </c>
      <c r="C943" s="74" t="s">
        <v>815</v>
      </c>
      <c r="D943" s="74" t="s">
        <v>535</v>
      </c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spans="1:24" ht="13.2" x14ac:dyDescent="0.25">
      <c r="A944" s="9" t="s">
        <v>102</v>
      </c>
      <c r="B944" s="9" t="s">
        <v>136</v>
      </c>
      <c r="C944" s="74" t="s">
        <v>847</v>
      </c>
      <c r="D944" s="74" t="s">
        <v>533</v>
      </c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spans="1:24" ht="13.2" x14ac:dyDescent="0.25">
      <c r="A945" s="9" t="s">
        <v>102</v>
      </c>
      <c r="B945" s="9" t="s">
        <v>56</v>
      </c>
      <c r="C945" s="74" t="s">
        <v>315</v>
      </c>
      <c r="D945" s="74" t="s">
        <v>535</v>
      </c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spans="1:24" ht="13.2" x14ac:dyDescent="0.25">
      <c r="A946" s="9" t="s">
        <v>102</v>
      </c>
      <c r="B946" s="9" t="s">
        <v>337</v>
      </c>
      <c r="C946" s="74" t="s">
        <v>848</v>
      </c>
      <c r="D946" s="74" t="s">
        <v>537</v>
      </c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spans="1:24" ht="13.2" x14ac:dyDescent="0.25">
      <c r="A947" s="9" t="s">
        <v>102</v>
      </c>
      <c r="B947" s="9" t="s">
        <v>470</v>
      </c>
      <c r="C947" s="74" t="s">
        <v>315</v>
      </c>
      <c r="D947" s="74" t="s">
        <v>535</v>
      </c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spans="1:24" ht="13.2" x14ac:dyDescent="0.25">
      <c r="A948" s="9" t="s">
        <v>102</v>
      </c>
      <c r="B948" s="9" t="s">
        <v>472</v>
      </c>
      <c r="C948" s="74" t="s">
        <v>849</v>
      </c>
      <c r="D948" s="74" t="s">
        <v>537</v>
      </c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spans="1:24" ht="13.2" x14ac:dyDescent="0.25">
      <c r="A949" s="9" t="s">
        <v>102</v>
      </c>
      <c r="B949" s="9" t="s">
        <v>66</v>
      </c>
      <c r="C949" s="74" t="s">
        <v>850</v>
      </c>
      <c r="D949" s="74" t="s">
        <v>533</v>
      </c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spans="1:24" ht="13.2" x14ac:dyDescent="0.25">
      <c r="A950" s="9" t="s">
        <v>102</v>
      </c>
      <c r="B950" s="9" t="s">
        <v>68</v>
      </c>
      <c r="C950" s="90">
        <v>0.96099999999999997</v>
      </c>
      <c r="D950" s="74" t="s">
        <v>533</v>
      </c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spans="1:24" ht="13.2" x14ac:dyDescent="0.25">
      <c r="A951" s="9" t="s">
        <v>102</v>
      </c>
      <c r="B951" s="9" t="s">
        <v>341</v>
      </c>
      <c r="C951" s="74" t="s">
        <v>851</v>
      </c>
      <c r="D951" s="74" t="s">
        <v>533</v>
      </c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spans="1:24" ht="13.2" x14ac:dyDescent="0.25">
      <c r="A952" s="9" t="s">
        <v>102</v>
      </c>
      <c r="B952" s="9" t="s">
        <v>72</v>
      </c>
      <c r="C952" s="74" t="s">
        <v>315</v>
      </c>
      <c r="D952" s="74" t="s">
        <v>535</v>
      </c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spans="1:24" ht="13.2" x14ac:dyDescent="0.25">
      <c r="A953" s="9" t="s">
        <v>102</v>
      </c>
      <c r="B953" s="9" t="s">
        <v>342</v>
      </c>
      <c r="C953" s="74" t="s">
        <v>852</v>
      </c>
      <c r="D953" s="74" t="s">
        <v>533</v>
      </c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spans="1:24" ht="13.2" x14ac:dyDescent="0.25">
      <c r="A954" s="9" t="s">
        <v>102</v>
      </c>
      <c r="B954" s="9" t="s">
        <v>343</v>
      </c>
      <c r="C954" s="74" t="s">
        <v>315</v>
      </c>
      <c r="D954" s="74" t="s">
        <v>535</v>
      </c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spans="1:24" ht="13.2" x14ac:dyDescent="0.25">
      <c r="A955" s="9" t="s">
        <v>102</v>
      </c>
      <c r="B955" s="9" t="s">
        <v>344</v>
      </c>
      <c r="C955" s="74" t="s">
        <v>315</v>
      </c>
      <c r="D955" s="74" t="s">
        <v>535</v>
      </c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spans="1:24" ht="13.2" x14ac:dyDescent="0.25">
      <c r="A956" s="9" t="s">
        <v>102</v>
      </c>
      <c r="B956" s="9" t="s">
        <v>345</v>
      </c>
      <c r="C956" s="90">
        <v>1.7000000000000001E-2</v>
      </c>
      <c r="D956" s="74" t="s">
        <v>533</v>
      </c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spans="1:24" ht="13.2" x14ac:dyDescent="0.25">
      <c r="A957" s="9" t="s">
        <v>102</v>
      </c>
      <c r="B957" s="9" t="s">
        <v>346</v>
      </c>
      <c r="C957" s="91">
        <v>0</v>
      </c>
      <c r="D957" s="74" t="s">
        <v>533</v>
      </c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spans="1:24" ht="13.2" x14ac:dyDescent="0.25">
      <c r="A958" s="9" t="s">
        <v>102</v>
      </c>
      <c r="B958" s="9" t="s">
        <v>347</v>
      </c>
      <c r="C958" s="90">
        <v>3.0000000000000001E-3</v>
      </c>
      <c r="D958" s="74" t="s">
        <v>533</v>
      </c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spans="1:24" ht="13.2" x14ac:dyDescent="0.25">
      <c r="A959" s="9" t="s">
        <v>102</v>
      </c>
      <c r="B959" s="9" t="s">
        <v>853</v>
      </c>
      <c r="C959" s="91">
        <v>0</v>
      </c>
      <c r="D959" s="74" t="s">
        <v>533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spans="1:24" ht="13.2" x14ac:dyDescent="0.25">
      <c r="A960" s="9" t="s">
        <v>102</v>
      </c>
      <c r="B960" s="9" t="s">
        <v>349</v>
      </c>
      <c r="C960" s="91">
        <v>0.75</v>
      </c>
      <c r="D960" s="74" t="s">
        <v>533</v>
      </c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spans="1:24" ht="13.2" x14ac:dyDescent="0.25">
      <c r="A961" s="9" t="s">
        <v>102</v>
      </c>
      <c r="B961" s="9" t="s">
        <v>150</v>
      </c>
      <c r="C961" s="90">
        <v>0.245</v>
      </c>
      <c r="D961" s="74" t="s">
        <v>533</v>
      </c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spans="1:24" ht="13.2" x14ac:dyDescent="0.25">
      <c r="A962" s="9" t="s">
        <v>102</v>
      </c>
      <c r="B962" s="9" t="s">
        <v>351</v>
      </c>
      <c r="C962" s="74" t="s">
        <v>315</v>
      </c>
      <c r="D962" s="74" t="s">
        <v>535</v>
      </c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spans="1:24" ht="13.2" x14ac:dyDescent="0.25">
      <c r="A963" s="9" t="s">
        <v>102</v>
      </c>
      <c r="B963" s="9" t="s">
        <v>152</v>
      </c>
      <c r="C963" s="74" t="s">
        <v>315</v>
      </c>
      <c r="D963" s="74" t="s">
        <v>535</v>
      </c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spans="1:24" ht="13.2" x14ac:dyDescent="0.25">
      <c r="A964" s="9" t="s">
        <v>102</v>
      </c>
      <c r="B964" s="9" t="s">
        <v>78</v>
      </c>
      <c r="C964" s="74">
        <v>2024</v>
      </c>
      <c r="D964" s="74" t="s">
        <v>533</v>
      </c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spans="1:24" ht="13.2" x14ac:dyDescent="0.25">
      <c r="A965" s="9" t="s">
        <v>102</v>
      </c>
      <c r="B965" s="9" t="s">
        <v>80</v>
      </c>
      <c r="C965" s="74">
        <v>2030</v>
      </c>
      <c r="D965" s="74" t="s">
        <v>533</v>
      </c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spans="1:24" ht="13.2" x14ac:dyDescent="0.25">
      <c r="A966" s="9" t="s">
        <v>102</v>
      </c>
      <c r="B966" s="9" t="s">
        <v>82</v>
      </c>
      <c r="C966" s="74">
        <v>2030</v>
      </c>
      <c r="D966" s="74" t="s">
        <v>854</v>
      </c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spans="1:24" ht="14.4" x14ac:dyDescent="0.3">
      <c r="A967" s="96" t="s">
        <v>103</v>
      </c>
      <c r="B967" s="9" t="s">
        <v>2</v>
      </c>
      <c r="C967" s="74" t="s">
        <v>855</v>
      </c>
      <c r="D967" s="74" t="s">
        <v>533</v>
      </c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spans="1:24" ht="14.4" x14ac:dyDescent="0.3">
      <c r="A968" s="96" t="s">
        <v>103</v>
      </c>
      <c r="B968" s="9" t="s">
        <v>4</v>
      </c>
      <c r="C968" s="91">
        <v>0.91</v>
      </c>
      <c r="D968" s="74" t="s">
        <v>533</v>
      </c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spans="1:24" ht="14.4" x14ac:dyDescent="0.3">
      <c r="A969" s="96" t="s">
        <v>103</v>
      </c>
      <c r="B969" s="9" t="s">
        <v>6</v>
      </c>
      <c r="C969" s="91">
        <v>0.06</v>
      </c>
      <c r="D969" s="74" t="s">
        <v>533</v>
      </c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spans="1:24" ht="14.4" x14ac:dyDescent="0.3">
      <c r="A970" s="96" t="s">
        <v>103</v>
      </c>
      <c r="B970" s="9" t="s">
        <v>8</v>
      </c>
      <c r="C970" s="91">
        <v>1</v>
      </c>
      <c r="D970" s="74" t="s">
        <v>533</v>
      </c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spans="1:24" ht="14.4" x14ac:dyDescent="0.3">
      <c r="A971" s="96" t="s">
        <v>103</v>
      </c>
      <c r="B971" s="9" t="s">
        <v>10</v>
      </c>
      <c r="C971" s="74" t="s">
        <v>856</v>
      </c>
      <c r="D971" s="74" t="s">
        <v>537</v>
      </c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spans="1:24" ht="14.4" x14ac:dyDescent="0.3">
      <c r="A972" s="96" t="s">
        <v>103</v>
      </c>
      <c r="B972" s="9" t="s">
        <v>12</v>
      </c>
      <c r="C972" s="74" t="s">
        <v>857</v>
      </c>
      <c r="D972" s="74" t="s">
        <v>537</v>
      </c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spans="1:24" ht="14.4" x14ac:dyDescent="0.3">
      <c r="A973" s="96" t="s">
        <v>103</v>
      </c>
      <c r="B973" s="9" t="s">
        <v>14</v>
      </c>
      <c r="C973" s="74" t="s">
        <v>858</v>
      </c>
      <c r="D973" s="74" t="s">
        <v>533</v>
      </c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spans="1:24" ht="14.4" x14ac:dyDescent="0.3">
      <c r="A974" s="96" t="s">
        <v>103</v>
      </c>
      <c r="B974" s="9" t="s">
        <v>16</v>
      </c>
      <c r="C974" s="74" t="s">
        <v>859</v>
      </c>
      <c r="D974" s="74" t="s">
        <v>533</v>
      </c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spans="1:24" ht="14.4" x14ac:dyDescent="0.3">
      <c r="A975" s="96" t="s">
        <v>103</v>
      </c>
      <c r="B975" s="9" t="s">
        <v>18</v>
      </c>
      <c r="C975" s="74" t="s">
        <v>860</v>
      </c>
      <c r="D975" s="74" t="s">
        <v>537</v>
      </c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spans="1:24" ht="14.4" x14ac:dyDescent="0.3">
      <c r="A976" s="96" t="s">
        <v>103</v>
      </c>
      <c r="B976" s="9" t="s">
        <v>20</v>
      </c>
      <c r="C976" s="74" t="s">
        <v>315</v>
      </c>
      <c r="D976" s="74" t="s">
        <v>535</v>
      </c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spans="1:24" ht="14.4" x14ac:dyDescent="0.3">
      <c r="A977" s="96" t="s">
        <v>103</v>
      </c>
      <c r="B977" s="9" t="s">
        <v>22</v>
      </c>
      <c r="C977" s="74" t="s">
        <v>861</v>
      </c>
      <c r="D977" s="74" t="s">
        <v>537</v>
      </c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spans="1:24" ht="14.4" x14ac:dyDescent="0.3">
      <c r="A978" s="96" t="s">
        <v>103</v>
      </c>
      <c r="B978" s="9" t="s">
        <v>24</v>
      </c>
      <c r="C978" s="74" t="s">
        <v>862</v>
      </c>
      <c r="D978" s="74" t="s">
        <v>537</v>
      </c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spans="1:24" ht="14.4" x14ac:dyDescent="0.3">
      <c r="A979" s="96" t="s">
        <v>103</v>
      </c>
      <c r="B979" s="9" t="s">
        <v>26</v>
      </c>
      <c r="C979" s="74" t="s">
        <v>863</v>
      </c>
      <c r="D979" s="74" t="s">
        <v>537</v>
      </c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spans="1:24" ht="14.4" x14ac:dyDescent="0.3">
      <c r="A980" s="96" t="s">
        <v>103</v>
      </c>
      <c r="B980" s="9" t="s">
        <v>28</v>
      </c>
      <c r="C980" s="74" t="s">
        <v>864</v>
      </c>
      <c r="D980" s="74" t="s">
        <v>537</v>
      </c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spans="1:24" ht="14.4" x14ac:dyDescent="0.3">
      <c r="A981" s="96" t="s">
        <v>103</v>
      </c>
      <c r="B981" s="9" t="s">
        <v>30</v>
      </c>
      <c r="C981" s="74" t="s">
        <v>865</v>
      </c>
      <c r="D981" s="74" t="s">
        <v>537</v>
      </c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spans="1:24" ht="14.4" x14ac:dyDescent="0.3">
      <c r="A982" s="96" t="s">
        <v>103</v>
      </c>
      <c r="B982" s="9" t="s">
        <v>32</v>
      </c>
      <c r="C982" s="74" t="s">
        <v>866</v>
      </c>
      <c r="D982" s="74" t="s">
        <v>533</v>
      </c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spans="1:24" ht="14.4" x14ac:dyDescent="0.3">
      <c r="A983" s="96" t="s">
        <v>103</v>
      </c>
      <c r="B983" s="9" t="s">
        <v>34</v>
      </c>
      <c r="C983" s="74" t="s">
        <v>867</v>
      </c>
      <c r="D983" s="74" t="s">
        <v>533</v>
      </c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spans="1:24" ht="14.4" x14ac:dyDescent="0.3">
      <c r="A984" s="96" t="s">
        <v>103</v>
      </c>
      <c r="B984" s="9" t="s">
        <v>36</v>
      </c>
      <c r="C984" s="74" t="s">
        <v>315</v>
      </c>
      <c r="D984" s="74" t="s">
        <v>535</v>
      </c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spans="1:24" ht="14.4" x14ac:dyDescent="0.3">
      <c r="A985" s="96" t="s">
        <v>103</v>
      </c>
      <c r="B985" s="9" t="s">
        <v>38</v>
      </c>
      <c r="C985" s="74" t="s">
        <v>315</v>
      </c>
      <c r="D985" s="74" t="s">
        <v>535</v>
      </c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spans="1:24" ht="14.4" x14ac:dyDescent="0.3">
      <c r="A986" s="96" t="s">
        <v>103</v>
      </c>
      <c r="B986" s="9" t="s">
        <v>40</v>
      </c>
      <c r="C986" s="74" t="s">
        <v>868</v>
      </c>
      <c r="D986" s="74" t="s">
        <v>533</v>
      </c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spans="1:24" ht="14.4" x14ac:dyDescent="0.3">
      <c r="A987" s="96" t="s">
        <v>103</v>
      </c>
      <c r="B987" s="9" t="s">
        <v>42</v>
      </c>
      <c r="C987" s="74" t="s">
        <v>869</v>
      </c>
      <c r="D987" s="74" t="s">
        <v>537</v>
      </c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spans="1:24" ht="14.4" x14ac:dyDescent="0.3">
      <c r="A988" s="96" t="s">
        <v>103</v>
      </c>
      <c r="B988" s="9" t="s">
        <v>44</v>
      </c>
      <c r="C988" s="74" t="s">
        <v>870</v>
      </c>
      <c r="D988" s="74" t="s">
        <v>537</v>
      </c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spans="1:24" ht="14.4" x14ac:dyDescent="0.3">
      <c r="A989" s="96" t="s">
        <v>103</v>
      </c>
      <c r="B989" s="9" t="s">
        <v>46</v>
      </c>
      <c r="C989" s="74" t="s">
        <v>871</v>
      </c>
      <c r="D989" s="74" t="s">
        <v>533</v>
      </c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spans="1:24" ht="14.4" x14ac:dyDescent="0.3">
      <c r="A990" s="96" t="s">
        <v>103</v>
      </c>
      <c r="B990" s="9" t="s">
        <v>48</v>
      </c>
      <c r="C990" s="74" t="s">
        <v>872</v>
      </c>
      <c r="D990" s="74" t="s">
        <v>537</v>
      </c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spans="1:24" ht="14.4" x14ac:dyDescent="0.3">
      <c r="A991" s="96" t="s">
        <v>103</v>
      </c>
      <c r="B991" s="9" t="s">
        <v>124</v>
      </c>
      <c r="C991" s="74" t="s">
        <v>873</v>
      </c>
      <c r="D991" s="74" t="s">
        <v>537</v>
      </c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spans="1:24" ht="14.4" x14ac:dyDescent="0.3">
      <c r="A992" s="96" t="s">
        <v>103</v>
      </c>
      <c r="B992" s="9" t="s">
        <v>126</v>
      </c>
      <c r="C992" s="74" t="s">
        <v>874</v>
      </c>
      <c r="D992" s="74" t="s">
        <v>537</v>
      </c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spans="1:24" ht="14.4" x14ac:dyDescent="0.3">
      <c r="A993" s="96" t="s">
        <v>103</v>
      </c>
      <c r="B993" s="9" t="s">
        <v>130</v>
      </c>
      <c r="C993" s="74" t="s">
        <v>875</v>
      </c>
      <c r="D993" s="74" t="s">
        <v>533</v>
      </c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spans="1:24" ht="14.4" x14ac:dyDescent="0.3">
      <c r="A994" s="96" t="s">
        <v>103</v>
      </c>
      <c r="B994" s="9" t="s">
        <v>131</v>
      </c>
      <c r="C994" s="74" t="s">
        <v>315</v>
      </c>
      <c r="D994" s="74" t="s">
        <v>535</v>
      </c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spans="1:24" ht="14.4" x14ac:dyDescent="0.3">
      <c r="A995" s="96" t="s">
        <v>103</v>
      </c>
      <c r="B995" s="9" t="s">
        <v>132</v>
      </c>
      <c r="C995" s="74" t="s">
        <v>876</v>
      </c>
      <c r="D995" s="74" t="s">
        <v>537</v>
      </c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spans="1:24" ht="14.4" x14ac:dyDescent="0.3">
      <c r="A996" s="96" t="s">
        <v>103</v>
      </c>
      <c r="B996" s="9" t="s">
        <v>50</v>
      </c>
      <c r="C996" s="74" t="s">
        <v>877</v>
      </c>
      <c r="D996" s="74" t="s">
        <v>533</v>
      </c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spans="1:24" ht="14.4" x14ac:dyDescent="0.3">
      <c r="A997" s="96" t="s">
        <v>103</v>
      </c>
      <c r="B997" s="9" t="s">
        <v>52</v>
      </c>
      <c r="C997" s="74" t="s">
        <v>878</v>
      </c>
      <c r="D997" s="74" t="s">
        <v>533</v>
      </c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spans="1:24" ht="14.4" x14ac:dyDescent="0.3">
      <c r="A998" s="96" t="s">
        <v>103</v>
      </c>
      <c r="B998" s="9" t="s">
        <v>54</v>
      </c>
      <c r="C998" s="74" t="s">
        <v>879</v>
      </c>
      <c r="D998" s="74" t="s">
        <v>533</v>
      </c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spans="1:24" ht="14.4" x14ac:dyDescent="0.3">
      <c r="A999" s="96" t="s">
        <v>103</v>
      </c>
      <c r="B999" s="9" t="s">
        <v>134</v>
      </c>
      <c r="C999" s="74" t="s">
        <v>880</v>
      </c>
      <c r="D999" s="74" t="s">
        <v>537</v>
      </c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spans="1:24" ht="14.4" x14ac:dyDescent="0.3">
      <c r="A1000" s="96" t="s">
        <v>103</v>
      </c>
      <c r="B1000" s="9" t="s">
        <v>135</v>
      </c>
      <c r="C1000" s="74" t="s">
        <v>881</v>
      </c>
      <c r="D1000" s="74" t="s">
        <v>537</v>
      </c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spans="1:24" ht="14.4" x14ac:dyDescent="0.3">
      <c r="A1001" s="96" t="s">
        <v>103</v>
      </c>
      <c r="B1001" s="9" t="s">
        <v>136</v>
      </c>
      <c r="C1001" s="74" t="s">
        <v>882</v>
      </c>
      <c r="D1001" s="74" t="s">
        <v>533</v>
      </c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spans="1:24" ht="14.4" x14ac:dyDescent="0.3">
      <c r="A1002" s="96" t="s">
        <v>103</v>
      </c>
      <c r="B1002" s="9" t="s">
        <v>56</v>
      </c>
      <c r="C1002" s="74" t="s">
        <v>315</v>
      </c>
      <c r="D1002" s="74" t="s">
        <v>535</v>
      </c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spans="1:24" ht="14.4" x14ac:dyDescent="0.3">
      <c r="A1003" s="96" t="s">
        <v>103</v>
      </c>
      <c r="B1003" s="9" t="s">
        <v>337</v>
      </c>
      <c r="C1003" s="74" t="s">
        <v>883</v>
      </c>
      <c r="D1003" s="74" t="s">
        <v>537</v>
      </c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spans="1:24" ht="14.4" x14ac:dyDescent="0.3">
      <c r="A1004" s="96" t="s">
        <v>103</v>
      </c>
      <c r="B1004" s="9" t="s">
        <v>470</v>
      </c>
      <c r="C1004" s="74" t="s">
        <v>356</v>
      </c>
      <c r="D1004" s="74" t="s">
        <v>535</v>
      </c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spans="1:24" ht="14.4" x14ac:dyDescent="0.3">
      <c r="A1005" s="96" t="s">
        <v>103</v>
      </c>
      <c r="B1005" s="9" t="s">
        <v>472</v>
      </c>
      <c r="C1005" s="74" t="s">
        <v>884</v>
      </c>
      <c r="D1005" s="74" t="s">
        <v>537</v>
      </c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spans="1:24" ht="14.4" x14ac:dyDescent="0.3">
      <c r="A1006" s="96" t="s">
        <v>103</v>
      </c>
      <c r="B1006" s="9" t="s">
        <v>66</v>
      </c>
      <c r="C1006" s="74" t="s">
        <v>885</v>
      </c>
      <c r="D1006" s="74" t="s">
        <v>533</v>
      </c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spans="1:24" ht="14.4" x14ac:dyDescent="0.3">
      <c r="A1007" s="96" t="s">
        <v>103</v>
      </c>
      <c r="B1007" s="9" t="s">
        <v>68</v>
      </c>
      <c r="C1007" s="91">
        <v>0.7</v>
      </c>
      <c r="D1007" s="74" t="s">
        <v>533</v>
      </c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spans="1:24" ht="14.4" x14ac:dyDescent="0.3">
      <c r="A1008" s="96" t="s">
        <v>103</v>
      </c>
      <c r="B1008" s="9" t="s">
        <v>341</v>
      </c>
      <c r="C1008" s="74" t="s">
        <v>886</v>
      </c>
      <c r="D1008" s="74" t="s">
        <v>533</v>
      </c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 spans="1:24" ht="14.4" x14ac:dyDescent="0.3">
      <c r="A1009" s="96" t="s">
        <v>103</v>
      </c>
      <c r="B1009" s="9" t="s">
        <v>72</v>
      </c>
      <c r="C1009" s="74" t="s">
        <v>315</v>
      </c>
      <c r="D1009" s="74" t="s">
        <v>535</v>
      </c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  <row r="1010" spans="1:24" ht="14.4" x14ac:dyDescent="0.3">
      <c r="A1010" s="96" t="s">
        <v>103</v>
      </c>
      <c r="B1010" s="9" t="s">
        <v>342</v>
      </c>
      <c r="C1010" s="74" t="s">
        <v>887</v>
      </c>
      <c r="D1010" s="74" t="s">
        <v>533</v>
      </c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</row>
    <row r="1011" spans="1:24" ht="14.4" x14ac:dyDescent="0.3">
      <c r="A1011" s="96" t="s">
        <v>103</v>
      </c>
      <c r="B1011" s="9" t="s">
        <v>343</v>
      </c>
      <c r="C1011" s="74" t="s">
        <v>888</v>
      </c>
      <c r="D1011" s="74" t="s">
        <v>537</v>
      </c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</row>
    <row r="1012" spans="1:24" ht="14.4" x14ac:dyDescent="0.3">
      <c r="A1012" s="96" t="s">
        <v>103</v>
      </c>
      <c r="B1012" s="9" t="s">
        <v>344</v>
      </c>
      <c r="C1012" s="74" t="s">
        <v>888</v>
      </c>
      <c r="D1012" s="74" t="s">
        <v>537</v>
      </c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</row>
    <row r="1013" spans="1:24" ht="14.4" x14ac:dyDescent="0.3">
      <c r="A1013" s="96" t="s">
        <v>103</v>
      </c>
      <c r="B1013" s="9" t="s">
        <v>345</v>
      </c>
      <c r="C1013" s="74" t="s">
        <v>315</v>
      </c>
      <c r="D1013" s="74" t="s">
        <v>535</v>
      </c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</row>
    <row r="1014" spans="1:24" ht="14.4" x14ac:dyDescent="0.3">
      <c r="A1014" s="96" t="s">
        <v>103</v>
      </c>
      <c r="B1014" s="9" t="s">
        <v>346</v>
      </c>
      <c r="C1014" s="74" t="s">
        <v>315</v>
      </c>
      <c r="D1014" s="74" t="s">
        <v>535</v>
      </c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</row>
    <row r="1015" spans="1:24" ht="14.4" x14ac:dyDescent="0.3">
      <c r="A1015" s="96" t="s">
        <v>103</v>
      </c>
      <c r="B1015" s="9" t="s">
        <v>889</v>
      </c>
      <c r="C1015" s="74" t="s">
        <v>890</v>
      </c>
      <c r="D1015" s="74" t="s">
        <v>537</v>
      </c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</row>
    <row r="1016" spans="1:24" ht="14.4" x14ac:dyDescent="0.3">
      <c r="A1016" s="96" t="s">
        <v>103</v>
      </c>
      <c r="B1016" s="9" t="s">
        <v>891</v>
      </c>
      <c r="C1016" s="74" t="s">
        <v>315</v>
      </c>
      <c r="D1016" s="74" t="s">
        <v>535</v>
      </c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</row>
    <row r="1017" spans="1:24" ht="14.4" x14ac:dyDescent="0.3">
      <c r="A1017" s="96" t="s">
        <v>103</v>
      </c>
      <c r="B1017" s="9" t="s">
        <v>349</v>
      </c>
      <c r="C1017" s="74" t="s">
        <v>892</v>
      </c>
      <c r="D1017" s="74" t="s">
        <v>537</v>
      </c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</row>
    <row r="1018" spans="1:24" ht="14.4" x14ac:dyDescent="0.3">
      <c r="A1018" s="96" t="s">
        <v>103</v>
      </c>
      <c r="B1018" s="9" t="s">
        <v>150</v>
      </c>
      <c r="C1018" s="91">
        <v>0.54</v>
      </c>
      <c r="D1018" s="74" t="s">
        <v>533</v>
      </c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</row>
    <row r="1019" spans="1:24" ht="14.4" x14ac:dyDescent="0.3">
      <c r="A1019" s="96" t="s">
        <v>103</v>
      </c>
      <c r="B1019" s="9" t="s">
        <v>351</v>
      </c>
      <c r="C1019" s="74" t="s">
        <v>315</v>
      </c>
      <c r="D1019" s="74" t="s">
        <v>535</v>
      </c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</row>
    <row r="1020" spans="1:24" ht="14.4" x14ac:dyDescent="0.3">
      <c r="A1020" s="96" t="s">
        <v>103</v>
      </c>
      <c r="B1020" s="9" t="s">
        <v>152</v>
      </c>
      <c r="C1020" s="74" t="s">
        <v>893</v>
      </c>
      <c r="D1020" s="74" t="s">
        <v>537</v>
      </c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</row>
    <row r="1021" spans="1:24" ht="14.4" x14ac:dyDescent="0.3">
      <c r="A1021" s="96" t="s">
        <v>103</v>
      </c>
      <c r="B1021" s="9" t="s">
        <v>78</v>
      </c>
      <c r="C1021" s="74">
        <v>2024</v>
      </c>
      <c r="D1021" s="74" t="s">
        <v>533</v>
      </c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</row>
    <row r="1022" spans="1:24" ht="14.4" x14ac:dyDescent="0.3">
      <c r="A1022" s="96" t="s">
        <v>103</v>
      </c>
      <c r="B1022" s="9" t="s">
        <v>80</v>
      </c>
      <c r="C1022" s="74">
        <v>2030</v>
      </c>
      <c r="D1022" s="74" t="s">
        <v>533</v>
      </c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</row>
    <row r="1023" spans="1:24" ht="14.4" x14ac:dyDescent="0.3">
      <c r="A1023" s="96" t="s">
        <v>103</v>
      </c>
      <c r="B1023" s="9" t="s">
        <v>82</v>
      </c>
      <c r="C1023" s="74">
        <v>2030</v>
      </c>
      <c r="D1023" s="74" t="s">
        <v>533</v>
      </c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</row>
    <row r="1024" spans="1:24" ht="13.2" x14ac:dyDescent="0.25">
      <c r="A1024" s="9" t="s">
        <v>104</v>
      </c>
      <c r="B1024" s="9" t="s">
        <v>2</v>
      </c>
      <c r="C1024" s="74" t="s">
        <v>894</v>
      </c>
      <c r="D1024" s="74" t="s">
        <v>533</v>
      </c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</row>
    <row r="1025" spans="1:24" ht="13.2" x14ac:dyDescent="0.25">
      <c r="A1025" s="9" t="s">
        <v>104</v>
      </c>
      <c r="B1025" s="9" t="s">
        <v>4</v>
      </c>
      <c r="C1025" s="74" t="s">
        <v>356</v>
      </c>
      <c r="D1025" s="74" t="s">
        <v>535</v>
      </c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</row>
    <row r="1026" spans="1:24" ht="13.2" x14ac:dyDescent="0.25">
      <c r="A1026" s="9" t="s">
        <v>104</v>
      </c>
      <c r="B1026" s="9" t="s">
        <v>6</v>
      </c>
      <c r="C1026" s="74" t="s">
        <v>356</v>
      </c>
      <c r="D1026" s="74" t="s">
        <v>535</v>
      </c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</row>
    <row r="1027" spans="1:24" ht="13.2" x14ac:dyDescent="0.25">
      <c r="A1027" s="9" t="s">
        <v>104</v>
      </c>
      <c r="B1027" s="9" t="s">
        <v>8</v>
      </c>
      <c r="C1027" s="91">
        <v>1</v>
      </c>
      <c r="D1027" s="74" t="s">
        <v>533</v>
      </c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</row>
    <row r="1028" spans="1:24" ht="13.2" x14ac:dyDescent="0.25">
      <c r="A1028" s="9" t="s">
        <v>104</v>
      </c>
      <c r="B1028" s="9" t="s">
        <v>10</v>
      </c>
      <c r="C1028" s="74" t="s">
        <v>315</v>
      </c>
      <c r="D1028" s="74" t="s">
        <v>535</v>
      </c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</row>
    <row r="1029" spans="1:24" ht="13.2" x14ac:dyDescent="0.25">
      <c r="A1029" s="9" t="s">
        <v>104</v>
      </c>
      <c r="B1029" s="9" t="s">
        <v>12</v>
      </c>
      <c r="C1029" s="74" t="s">
        <v>315</v>
      </c>
      <c r="D1029" s="74" t="s">
        <v>535</v>
      </c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</row>
    <row r="1030" spans="1:24" ht="13.2" x14ac:dyDescent="0.25">
      <c r="A1030" s="9" t="s">
        <v>104</v>
      </c>
      <c r="B1030" s="9" t="s">
        <v>14</v>
      </c>
      <c r="C1030" s="74" t="s">
        <v>895</v>
      </c>
      <c r="D1030" s="74" t="s">
        <v>535</v>
      </c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</row>
    <row r="1031" spans="1:24" ht="13.2" x14ac:dyDescent="0.25">
      <c r="A1031" s="9" t="s">
        <v>104</v>
      </c>
      <c r="B1031" s="9" t="s">
        <v>16</v>
      </c>
      <c r="C1031" s="74" t="s">
        <v>896</v>
      </c>
      <c r="D1031" s="74" t="s">
        <v>533</v>
      </c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</row>
    <row r="1032" spans="1:24" ht="13.2" x14ac:dyDescent="0.25">
      <c r="A1032" s="9" t="s">
        <v>104</v>
      </c>
      <c r="B1032" s="9" t="s">
        <v>18</v>
      </c>
      <c r="C1032" s="74" t="s">
        <v>745</v>
      </c>
      <c r="D1032" s="74" t="s">
        <v>535</v>
      </c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</row>
    <row r="1033" spans="1:24" ht="13.2" x14ac:dyDescent="0.25">
      <c r="A1033" s="9" t="s">
        <v>104</v>
      </c>
      <c r="B1033" s="9" t="s">
        <v>20</v>
      </c>
      <c r="C1033" s="93" t="s">
        <v>897</v>
      </c>
      <c r="D1033" s="74" t="s">
        <v>533</v>
      </c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</row>
    <row r="1034" spans="1:24" ht="13.2" x14ac:dyDescent="0.25">
      <c r="A1034" s="9" t="s">
        <v>104</v>
      </c>
      <c r="B1034" s="9" t="s">
        <v>24</v>
      </c>
      <c r="C1034" s="74" t="s">
        <v>898</v>
      </c>
      <c r="D1034" s="74" t="s">
        <v>533</v>
      </c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</row>
    <row r="1035" spans="1:24" ht="13.2" x14ac:dyDescent="0.25">
      <c r="A1035" s="9" t="s">
        <v>104</v>
      </c>
      <c r="B1035" s="9" t="s">
        <v>26</v>
      </c>
      <c r="C1035" s="74" t="s">
        <v>899</v>
      </c>
      <c r="D1035" s="74" t="s">
        <v>533</v>
      </c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</row>
    <row r="1036" spans="1:24" ht="13.2" x14ac:dyDescent="0.25">
      <c r="A1036" s="9" t="s">
        <v>104</v>
      </c>
      <c r="B1036" s="9" t="s">
        <v>28</v>
      </c>
      <c r="C1036" s="74" t="s">
        <v>900</v>
      </c>
      <c r="D1036" s="74" t="s">
        <v>533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</row>
    <row r="1037" spans="1:24" ht="13.2" x14ac:dyDescent="0.25">
      <c r="A1037" s="9" t="s">
        <v>104</v>
      </c>
      <c r="B1037" s="9" t="s">
        <v>30</v>
      </c>
      <c r="C1037" s="74" t="s">
        <v>901</v>
      </c>
      <c r="D1037" s="74" t="s">
        <v>533</v>
      </c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</row>
    <row r="1038" spans="1:24" ht="13.2" x14ac:dyDescent="0.25">
      <c r="A1038" s="9" t="s">
        <v>104</v>
      </c>
      <c r="B1038" s="9" t="s">
        <v>32</v>
      </c>
      <c r="C1038" s="74" t="s">
        <v>902</v>
      </c>
      <c r="D1038" s="74" t="s">
        <v>533</v>
      </c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</row>
    <row r="1039" spans="1:24" ht="13.2" x14ac:dyDescent="0.25">
      <c r="A1039" s="9" t="s">
        <v>104</v>
      </c>
      <c r="B1039" s="9" t="s">
        <v>34</v>
      </c>
      <c r="C1039" s="74" t="s">
        <v>315</v>
      </c>
      <c r="D1039" s="74" t="s">
        <v>535</v>
      </c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</row>
    <row r="1040" spans="1:24" ht="13.2" x14ac:dyDescent="0.25">
      <c r="A1040" s="9" t="s">
        <v>104</v>
      </c>
      <c r="B1040" s="9" t="s">
        <v>36</v>
      </c>
      <c r="C1040" s="74" t="s">
        <v>315</v>
      </c>
      <c r="D1040" s="74" t="s">
        <v>535</v>
      </c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</row>
    <row r="1041" spans="1:24" ht="13.2" x14ac:dyDescent="0.25">
      <c r="A1041" s="9" t="s">
        <v>104</v>
      </c>
      <c r="B1041" s="9" t="s">
        <v>38</v>
      </c>
      <c r="C1041" s="74" t="s">
        <v>315</v>
      </c>
      <c r="D1041" s="74" t="s">
        <v>535</v>
      </c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</row>
    <row r="1042" spans="1:24" ht="13.2" x14ac:dyDescent="0.25">
      <c r="A1042" s="9" t="s">
        <v>104</v>
      </c>
      <c r="B1042" s="9" t="s">
        <v>40</v>
      </c>
      <c r="C1042" s="74" t="s">
        <v>903</v>
      </c>
      <c r="D1042" s="74" t="s">
        <v>533</v>
      </c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</row>
    <row r="1043" spans="1:24" ht="13.2" x14ac:dyDescent="0.25">
      <c r="A1043" s="9" t="s">
        <v>104</v>
      </c>
      <c r="B1043" s="9" t="s">
        <v>42</v>
      </c>
      <c r="C1043" s="74" t="s">
        <v>904</v>
      </c>
      <c r="D1043" s="74" t="s">
        <v>537</v>
      </c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</row>
    <row r="1044" spans="1:24" ht="13.2" x14ac:dyDescent="0.25">
      <c r="A1044" s="9" t="s">
        <v>104</v>
      </c>
      <c r="B1044" s="9" t="s">
        <v>44</v>
      </c>
      <c r="C1044" s="74" t="s">
        <v>315</v>
      </c>
      <c r="D1044" s="74" t="s">
        <v>535</v>
      </c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</row>
    <row r="1045" spans="1:24" ht="13.2" x14ac:dyDescent="0.25">
      <c r="A1045" s="9" t="s">
        <v>104</v>
      </c>
      <c r="B1045" s="9" t="s">
        <v>46</v>
      </c>
      <c r="C1045" s="74" t="s">
        <v>905</v>
      </c>
      <c r="D1045" s="74" t="s">
        <v>533</v>
      </c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</row>
    <row r="1046" spans="1:24" ht="13.2" x14ac:dyDescent="0.25">
      <c r="A1046" s="9" t="s">
        <v>104</v>
      </c>
      <c r="B1046" s="9" t="s">
        <v>48</v>
      </c>
      <c r="C1046" s="74" t="s">
        <v>356</v>
      </c>
      <c r="D1046" s="74" t="s">
        <v>535</v>
      </c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</row>
    <row r="1047" spans="1:24" ht="13.2" x14ac:dyDescent="0.25">
      <c r="A1047" s="9" t="s">
        <v>104</v>
      </c>
      <c r="B1047" s="9" t="s">
        <v>124</v>
      </c>
      <c r="C1047" s="74" t="s">
        <v>906</v>
      </c>
      <c r="D1047" s="74" t="s">
        <v>533</v>
      </c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</row>
    <row r="1048" spans="1:24" ht="13.2" x14ac:dyDescent="0.25">
      <c r="A1048" s="9" t="s">
        <v>104</v>
      </c>
      <c r="B1048" s="9" t="s">
        <v>126</v>
      </c>
      <c r="C1048" s="74" t="s">
        <v>907</v>
      </c>
      <c r="D1048" s="74" t="s">
        <v>537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</row>
    <row r="1049" spans="1:24" ht="13.2" x14ac:dyDescent="0.25">
      <c r="A1049" s="9" t="s">
        <v>104</v>
      </c>
      <c r="B1049" s="9" t="s">
        <v>130</v>
      </c>
      <c r="C1049" s="74" t="s">
        <v>908</v>
      </c>
      <c r="D1049" s="74" t="s">
        <v>537</v>
      </c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</row>
    <row r="1050" spans="1:24" ht="13.2" x14ac:dyDescent="0.25">
      <c r="A1050" s="9" t="s">
        <v>104</v>
      </c>
      <c r="B1050" s="9" t="s">
        <v>131</v>
      </c>
      <c r="C1050" s="74" t="s">
        <v>909</v>
      </c>
      <c r="D1050" s="74" t="s">
        <v>537</v>
      </c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</row>
    <row r="1051" spans="1:24" ht="13.2" x14ac:dyDescent="0.25">
      <c r="A1051" s="9" t="s">
        <v>104</v>
      </c>
      <c r="B1051" s="9" t="s">
        <v>132</v>
      </c>
      <c r="C1051" s="74" t="s">
        <v>910</v>
      </c>
      <c r="D1051" s="74" t="s">
        <v>533</v>
      </c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</row>
    <row r="1052" spans="1:24" ht="13.2" x14ac:dyDescent="0.25">
      <c r="A1052" s="9" t="s">
        <v>104</v>
      </c>
      <c r="B1052" s="9" t="s">
        <v>50</v>
      </c>
      <c r="C1052" s="74" t="s">
        <v>911</v>
      </c>
      <c r="D1052" s="74" t="s">
        <v>533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</row>
    <row r="1053" spans="1:24" ht="13.2" x14ac:dyDescent="0.25">
      <c r="A1053" s="9" t="s">
        <v>104</v>
      </c>
      <c r="B1053" s="9" t="s">
        <v>52</v>
      </c>
      <c r="C1053" s="74" t="s">
        <v>912</v>
      </c>
      <c r="D1053" s="74" t="s">
        <v>533</v>
      </c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</row>
    <row r="1054" spans="1:24" ht="13.2" x14ac:dyDescent="0.25">
      <c r="A1054" s="9" t="s">
        <v>104</v>
      </c>
      <c r="B1054" s="9" t="s">
        <v>54</v>
      </c>
      <c r="C1054" s="74" t="s">
        <v>913</v>
      </c>
      <c r="D1054" s="74" t="s">
        <v>533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</row>
    <row r="1055" spans="1:24" ht="13.2" x14ac:dyDescent="0.25">
      <c r="A1055" s="9" t="s">
        <v>104</v>
      </c>
      <c r="B1055" s="9" t="s">
        <v>134</v>
      </c>
      <c r="C1055" s="74" t="s">
        <v>914</v>
      </c>
      <c r="D1055" s="74" t="s">
        <v>537</v>
      </c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</row>
    <row r="1056" spans="1:24" ht="13.2" x14ac:dyDescent="0.25">
      <c r="A1056" s="9" t="s">
        <v>104</v>
      </c>
      <c r="B1056" s="9" t="s">
        <v>135</v>
      </c>
      <c r="C1056" s="74" t="s">
        <v>914</v>
      </c>
      <c r="D1056" s="74" t="s">
        <v>537</v>
      </c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</row>
    <row r="1057" spans="1:24" ht="13.2" x14ac:dyDescent="0.25">
      <c r="A1057" s="9" t="s">
        <v>104</v>
      </c>
      <c r="B1057" s="9" t="s">
        <v>136</v>
      </c>
      <c r="C1057" s="74" t="s">
        <v>915</v>
      </c>
      <c r="D1057" s="74" t="s">
        <v>537</v>
      </c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</row>
    <row r="1058" spans="1:24" ht="13.2" x14ac:dyDescent="0.25">
      <c r="A1058" s="9" t="s">
        <v>104</v>
      </c>
      <c r="B1058" s="9" t="s">
        <v>56</v>
      </c>
      <c r="C1058" s="74" t="s">
        <v>315</v>
      </c>
      <c r="D1058" s="74" t="s">
        <v>535</v>
      </c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</row>
    <row r="1059" spans="1:24" ht="13.2" x14ac:dyDescent="0.25">
      <c r="A1059" s="9" t="s">
        <v>104</v>
      </c>
      <c r="B1059" s="9" t="s">
        <v>337</v>
      </c>
      <c r="C1059" s="74" t="s">
        <v>916</v>
      </c>
      <c r="D1059" s="74" t="s">
        <v>537</v>
      </c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</row>
    <row r="1060" spans="1:24" ht="13.2" x14ac:dyDescent="0.25">
      <c r="A1060" s="9" t="s">
        <v>104</v>
      </c>
      <c r="B1060" s="9" t="s">
        <v>470</v>
      </c>
      <c r="C1060" s="74" t="s">
        <v>315</v>
      </c>
      <c r="D1060" s="74" t="s">
        <v>535</v>
      </c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</row>
    <row r="1061" spans="1:24" ht="13.2" x14ac:dyDescent="0.25">
      <c r="A1061" s="9" t="s">
        <v>104</v>
      </c>
      <c r="B1061" s="9" t="s">
        <v>472</v>
      </c>
      <c r="C1061" s="74" t="s">
        <v>917</v>
      </c>
      <c r="D1061" s="74" t="s">
        <v>537</v>
      </c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</row>
    <row r="1062" spans="1:24" ht="13.2" x14ac:dyDescent="0.25">
      <c r="A1062" s="9" t="s">
        <v>104</v>
      </c>
      <c r="B1062" s="9" t="s">
        <v>66</v>
      </c>
      <c r="C1062" s="74" t="s">
        <v>918</v>
      </c>
      <c r="D1062" s="74" t="s">
        <v>533</v>
      </c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</row>
    <row r="1063" spans="1:24" ht="13.2" x14ac:dyDescent="0.25">
      <c r="A1063" s="9" t="s">
        <v>104</v>
      </c>
      <c r="B1063" s="9" t="s">
        <v>68</v>
      </c>
      <c r="C1063" s="74" t="s">
        <v>919</v>
      </c>
      <c r="D1063" s="74" t="s">
        <v>533</v>
      </c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</row>
    <row r="1064" spans="1:24" ht="13.2" x14ac:dyDescent="0.25">
      <c r="A1064" s="9" t="s">
        <v>104</v>
      </c>
      <c r="B1064" s="9" t="s">
        <v>341</v>
      </c>
      <c r="C1064" s="74" t="s">
        <v>315</v>
      </c>
      <c r="D1064" s="74" t="s">
        <v>535</v>
      </c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</row>
    <row r="1065" spans="1:24" ht="13.2" x14ac:dyDescent="0.25">
      <c r="A1065" s="9" t="s">
        <v>104</v>
      </c>
      <c r="B1065" s="9" t="s">
        <v>72</v>
      </c>
      <c r="C1065" s="74" t="s">
        <v>315</v>
      </c>
      <c r="D1065" s="74" t="s">
        <v>535</v>
      </c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</row>
    <row r="1066" spans="1:24" ht="13.2" x14ac:dyDescent="0.25">
      <c r="A1066" s="9" t="s">
        <v>104</v>
      </c>
      <c r="B1066" s="9" t="s">
        <v>342</v>
      </c>
      <c r="C1066" s="91">
        <v>0.17</v>
      </c>
      <c r="D1066" s="74" t="s">
        <v>533</v>
      </c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</row>
    <row r="1067" spans="1:24" ht="13.2" x14ac:dyDescent="0.25">
      <c r="A1067" s="9" t="s">
        <v>104</v>
      </c>
      <c r="B1067" s="9" t="s">
        <v>343</v>
      </c>
      <c r="C1067" s="74" t="s">
        <v>315</v>
      </c>
      <c r="D1067" s="74" t="s">
        <v>535</v>
      </c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</row>
    <row r="1068" spans="1:24" ht="13.2" x14ac:dyDescent="0.25">
      <c r="A1068" s="9" t="s">
        <v>104</v>
      </c>
      <c r="B1068" s="9" t="s">
        <v>344</v>
      </c>
      <c r="C1068" s="74" t="s">
        <v>315</v>
      </c>
      <c r="D1068" s="74" t="s">
        <v>535</v>
      </c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</row>
    <row r="1069" spans="1:24" ht="13.2" x14ac:dyDescent="0.25">
      <c r="A1069" s="9" t="s">
        <v>104</v>
      </c>
      <c r="B1069" s="9" t="s">
        <v>345</v>
      </c>
      <c r="C1069" s="74" t="s">
        <v>315</v>
      </c>
      <c r="D1069" s="74" t="s">
        <v>535</v>
      </c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</row>
    <row r="1070" spans="1:24" ht="13.2" x14ac:dyDescent="0.25">
      <c r="A1070" s="9" t="s">
        <v>104</v>
      </c>
      <c r="B1070" s="9" t="s">
        <v>346</v>
      </c>
      <c r="C1070" s="74" t="s">
        <v>315</v>
      </c>
      <c r="D1070" s="74" t="s">
        <v>535</v>
      </c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</row>
    <row r="1071" spans="1:24" ht="13.2" x14ac:dyDescent="0.25">
      <c r="A1071" s="9" t="s">
        <v>104</v>
      </c>
      <c r="B1071" s="9" t="s">
        <v>347</v>
      </c>
      <c r="C1071" s="91">
        <v>0.14000000000000001</v>
      </c>
      <c r="D1071" s="74" t="s">
        <v>533</v>
      </c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</row>
    <row r="1072" spans="1:24" ht="13.2" x14ac:dyDescent="0.25">
      <c r="A1072" s="9" t="s">
        <v>104</v>
      </c>
      <c r="B1072" s="9" t="s">
        <v>920</v>
      </c>
      <c r="C1072" s="90">
        <v>3.4000000000000002E-2</v>
      </c>
      <c r="D1072" s="74" t="s">
        <v>533</v>
      </c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</row>
    <row r="1073" spans="1:24" ht="13.2" x14ac:dyDescent="0.25">
      <c r="A1073" s="9" t="s">
        <v>104</v>
      </c>
      <c r="B1073" s="9" t="s">
        <v>349</v>
      </c>
      <c r="C1073" s="91">
        <v>0.54</v>
      </c>
      <c r="D1073" s="74" t="s">
        <v>533</v>
      </c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</row>
    <row r="1074" spans="1:24" ht="13.2" x14ac:dyDescent="0.25">
      <c r="A1074" s="9" t="s">
        <v>104</v>
      </c>
      <c r="B1074" s="9" t="s">
        <v>150</v>
      </c>
      <c r="C1074" s="91">
        <v>0.17</v>
      </c>
      <c r="D1074" s="74" t="s">
        <v>533</v>
      </c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</row>
    <row r="1075" spans="1:24" ht="13.2" x14ac:dyDescent="0.25">
      <c r="A1075" s="9" t="s">
        <v>104</v>
      </c>
      <c r="B1075" s="9" t="s">
        <v>351</v>
      </c>
      <c r="C1075" s="74" t="s">
        <v>315</v>
      </c>
      <c r="D1075" s="74" t="s">
        <v>535</v>
      </c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</row>
    <row r="1076" spans="1:24" ht="13.2" x14ac:dyDescent="0.25">
      <c r="A1076" s="9" t="s">
        <v>104</v>
      </c>
      <c r="B1076" s="9" t="s">
        <v>152</v>
      </c>
      <c r="C1076" s="74" t="s">
        <v>921</v>
      </c>
      <c r="D1076" s="74" t="s">
        <v>533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</row>
    <row r="1077" spans="1:24" ht="13.2" x14ac:dyDescent="0.25">
      <c r="A1077" s="9" t="s">
        <v>104</v>
      </c>
      <c r="B1077" s="9" t="s">
        <v>78</v>
      </c>
      <c r="C1077" s="74">
        <v>2024</v>
      </c>
      <c r="D1077" s="74" t="s">
        <v>533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</row>
    <row r="1078" spans="1:24" ht="13.2" x14ac:dyDescent="0.25">
      <c r="A1078" s="9" t="s">
        <v>104</v>
      </c>
      <c r="B1078" s="9" t="s">
        <v>80</v>
      </c>
      <c r="C1078" s="74">
        <v>2030</v>
      </c>
      <c r="D1078" s="74" t="s">
        <v>533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</row>
    <row r="1079" spans="1:24" ht="13.2" x14ac:dyDescent="0.25">
      <c r="A1079" s="9" t="s">
        <v>104</v>
      </c>
      <c r="B1079" s="9" t="s">
        <v>82</v>
      </c>
      <c r="C1079" s="74">
        <v>2030</v>
      </c>
      <c r="D1079" s="74" t="s">
        <v>533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</row>
    <row r="1080" spans="1:24" ht="13.2" x14ac:dyDescent="0.25">
      <c r="A1080" s="37" t="s">
        <v>105</v>
      </c>
      <c r="B1080" s="9" t="s">
        <v>2</v>
      </c>
      <c r="C1080" s="74" t="s">
        <v>922</v>
      </c>
      <c r="D1080" s="74" t="s">
        <v>533</v>
      </c>
    </row>
    <row r="1081" spans="1:24" ht="13.2" x14ac:dyDescent="0.25">
      <c r="A1081" s="37" t="s">
        <v>105</v>
      </c>
      <c r="B1081" s="9" t="s">
        <v>4</v>
      </c>
      <c r="C1081" s="90">
        <v>0.77100000000000002</v>
      </c>
      <c r="D1081" s="74" t="s">
        <v>533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</row>
    <row r="1082" spans="1:24" ht="13.2" x14ac:dyDescent="0.25">
      <c r="A1082" s="37" t="s">
        <v>105</v>
      </c>
      <c r="B1082" s="9" t="s">
        <v>6</v>
      </c>
      <c r="C1082" s="90">
        <v>0.13800000000000001</v>
      </c>
      <c r="D1082" s="74" t="s">
        <v>533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</row>
    <row r="1083" spans="1:24" ht="13.2" x14ac:dyDescent="0.25">
      <c r="A1083" s="37" t="s">
        <v>105</v>
      </c>
      <c r="B1083" s="9" t="s">
        <v>8</v>
      </c>
      <c r="C1083" s="91">
        <v>0.7</v>
      </c>
      <c r="D1083" s="74" t="s">
        <v>533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</row>
    <row r="1084" spans="1:24" ht="13.2" x14ac:dyDescent="0.25">
      <c r="A1084" s="37" t="s">
        <v>105</v>
      </c>
      <c r="B1084" s="9" t="s">
        <v>10</v>
      </c>
      <c r="C1084" s="74" t="s">
        <v>315</v>
      </c>
      <c r="D1084" s="74" t="s">
        <v>535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</row>
    <row r="1085" spans="1:24" ht="13.2" x14ac:dyDescent="0.25">
      <c r="A1085" s="37" t="s">
        <v>105</v>
      </c>
      <c r="B1085" s="9" t="s">
        <v>12</v>
      </c>
      <c r="C1085" s="74" t="s">
        <v>315</v>
      </c>
      <c r="D1085" s="74" t="s">
        <v>535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</row>
    <row r="1086" spans="1:24" ht="13.2" x14ac:dyDescent="0.25">
      <c r="A1086" s="37" t="s">
        <v>105</v>
      </c>
      <c r="B1086" s="9" t="s">
        <v>14</v>
      </c>
      <c r="C1086" s="74" t="s">
        <v>923</v>
      </c>
      <c r="D1086" s="74" t="s">
        <v>537</v>
      </c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</row>
    <row r="1087" spans="1:24" ht="13.2" x14ac:dyDescent="0.25">
      <c r="A1087" s="37" t="s">
        <v>105</v>
      </c>
      <c r="B1087" s="9" t="s">
        <v>16</v>
      </c>
      <c r="C1087" s="74" t="s">
        <v>924</v>
      </c>
      <c r="D1087" s="74" t="s">
        <v>533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</row>
    <row r="1088" spans="1:24" ht="13.2" x14ac:dyDescent="0.25">
      <c r="A1088" s="37" t="s">
        <v>105</v>
      </c>
      <c r="B1088" s="9" t="s">
        <v>18</v>
      </c>
      <c r="C1088" s="74" t="s">
        <v>925</v>
      </c>
      <c r="D1088" s="74" t="s">
        <v>533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</row>
    <row r="1089" spans="1:24" ht="13.2" x14ac:dyDescent="0.25">
      <c r="A1089" s="37" t="s">
        <v>105</v>
      </c>
      <c r="B1089" s="9" t="s">
        <v>20</v>
      </c>
      <c r="C1089" s="74" t="s">
        <v>926</v>
      </c>
      <c r="D1089" s="74" t="s">
        <v>533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</row>
    <row r="1090" spans="1:24" ht="13.2" x14ac:dyDescent="0.25">
      <c r="A1090" s="37" t="s">
        <v>105</v>
      </c>
      <c r="B1090" s="9" t="s">
        <v>22</v>
      </c>
      <c r="C1090" s="74" t="s">
        <v>927</v>
      </c>
      <c r="D1090" s="74" t="s">
        <v>533</v>
      </c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</row>
    <row r="1091" spans="1:24" ht="13.2" x14ac:dyDescent="0.25">
      <c r="A1091" s="37" t="s">
        <v>105</v>
      </c>
      <c r="B1091" s="9" t="s">
        <v>24</v>
      </c>
      <c r="C1091" s="74" t="s">
        <v>928</v>
      </c>
      <c r="D1091" s="74" t="s">
        <v>533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</row>
    <row r="1092" spans="1:24" ht="13.2" x14ac:dyDescent="0.25">
      <c r="A1092" s="37" t="s">
        <v>105</v>
      </c>
      <c r="B1092" s="9" t="s">
        <v>26</v>
      </c>
      <c r="C1092" s="74" t="s">
        <v>929</v>
      </c>
      <c r="D1092" s="74" t="s">
        <v>533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</row>
    <row r="1093" spans="1:24" ht="13.2" x14ac:dyDescent="0.25">
      <c r="A1093" s="37" t="s">
        <v>105</v>
      </c>
      <c r="B1093" s="9" t="s">
        <v>28</v>
      </c>
      <c r="C1093" s="74" t="s">
        <v>930</v>
      </c>
      <c r="D1093" s="74" t="s">
        <v>533</v>
      </c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</row>
    <row r="1094" spans="1:24" ht="13.2" x14ac:dyDescent="0.25">
      <c r="A1094" s="37" t="s">
        <v>105</v>
      </c>
      <c r="B1094" s="9" t="s">
        <v>30</v>
      </c>
      <c r="C1094" s="74" t="s">
        <v>931</v>
      </c>
      <c r="D1094" s="74" t="s">
        <v>533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</row>
    <row r="1095" spans="1:24" ht="13.2" x14ac:dyDescent="0.25">
      <c r="A1095" s="37" t="s">
        <v>105</v>
      </c>
      <c r="B1095" s="9" t="s">
        <v>32</v>
      </c>
      <c r="C1095" s="74" t="s">
        <v>315</v>
      </c>
      <c r="D1095" s="74" t="s">
        <v>535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</row>
    <row r="1096" spans="1:24" ht="13.2" x14ac:dyDescent="0.25">
      <c r="A1096" s="37" t="s">
        <v>105</v>
      </c>
      <c r="B1096" s="9" t="s">
        <v>34</v>
      </c>
      <c r="C1096" s="74" t="s">
        <v>932</v>
      </c>
      <c r="D1096" s="74" t="s">
        <v>533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</row>
    <row r="1097" spans="1:24" ht="13.2" x14ac:dyDescent="0.25">
      <c r="A1097" s="37" t="s">
        <v>105</v>
      </c>
      <c r="B1097" s="9" t="s">
        <v>36</v>
      </c>
      <c r="C1097" s="74" t="s">
        <v>933</v>
      </c>
      <c r="D1097" s="74" t="s">
        <v>533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</row>
    <row r="1098" spans="1:24" ht="13.2" x14ac:dyDescent="0.25">
      <c r="A1098" s="37" t="s">
        <v>105</v>
      </c>
      <c r="B1098" s="9" t="s">
        <v>38</v>
      </c>
      <c r="C1098" s="74" t="s">
        <v>315</v>
      </c>
      <c r="D1098" s="74" t="s">
        <v>535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</row>
    <row r="1099" spans="1:24" ht="13.2" x14ac:dyDescent="0.25">
      <c r="A1099" s="37" t="s">
        <v>105</v>
      </c>
      <c r="B1099" s="9" t="s">
        <v>40</v>
      </c>
      <c r="C1099" s="74" t="s">
        <v>356</v>
      </c>
      <c r="D1099" s="74" t="s">
        <v>535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</row>
    <row r="1100" spans="1:24" ht="13.2" x14ac:dyDescent="0.25">
      <c r="A1100" s="37" t="s">
        <v>105</v>
      </c>
      <c r="B1100" s="9" t="s">
        <v>42</v>
      </c>
      <c r="C1100" s="74" t="s">
        <v>356</v>
      </c>
      <c r="D1100" s="74" t="s">
        <v>535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</row>
    <row r="1101" spans="1:24" ht="13.2" x14ac:dyDescent="0.25">
      <c r="A1101" s="37" t="s">
        <v>105</v>
      </c>
      <c r="B1101" s="9" t="s">
        <v>44</v>
      </c>
      <c r="C1101" s="74" t="s">
        <v>315</v>
      </c>
      <c r="D1101" s="74" t="s">
        <v>535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</row>
    <row r="1102" spans="1:24" ht="13.2" x14ac:dyDescent="0.25">
      <c r="A1102" s="37" t="s">
        <v>105</v>
      </c>
      <c r="B1102" s="9" t="s">
        <v>46</v>
      </c>
      <c r="C1102" s="74" t="s">
        <v>315</v>
      </c>
      <c r="D1102" s="74" t="s">
        <v>535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</row>
    <row r="1103" spans="1:24" ht="13.2" x14ac:dyDescent="0.25">
      <c r="A1103" s="37" t="s">
        <v>105</v>
      </c>
      <c r="B1103" s="9" t="s">
        <v>48</v>
      </c>
      <c r="C1103" s="74" t="s">
        <v>315</v>
      </c>
      <c r="D1103" s="74" t="s">
        <v>535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</row>
    <row r="1104" spans="1:24" ht="13.2" x14ac:dyDescent="0.25">
      <c r="A1104" s="37" t="s">
        <v>105</v>
      </c>
      <c r="B1104" s="9" t="s">
        <v>124</v>
      </c>
      <c r="C1104" s="74" t="s">
        <v>934</v>
      </c>
      <c r="D1104" s="74" t="s">
        <v>533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</row>
    <row r="1105" spans="1:24" ht="13.2" x14ac:dyDescent="0.25">
      <c r="A1105" s="37" t="s">
        <v>105</v>
      </c>
      <c r="B1105" s="9" t="s">
        <v>126</v>
      </c>
      <c r="C1105" s="74" t="s">
        <v>935</v>
      </c>
      <c r="D1105" s="74" t="s">
        <v>533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</row>
    <row r="1106" spans="1:24" ht="13.2" x14ac:dyDescent="0.25">
      <c r="A1106" s="37" t="s">
        <v>105</v>
      </c>
      <c r="B1106" s="9" t="s">
        <v>130</v>
      </c>
      <c r="C1106" s="74" t="s">
        <v>315</v>
      </c>
      <c r="D1106" s="74" t="s">
        <v>535</v>
      </c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</row>
    <row r="1107" spans="1:24" ht="13.2" x14ac:dyDescent="0.25">
      <c r="A1107" s="37" t="s">
        <v>105</v>
      </c>
      <c r="B1107" s="9" t="s">
        <v>131</v>
      </c>
      <c r="C1107" s="74" t="s">
        <v>315</v>
      </c>
      <c r="D1107" s="74" t="s">
        <v>535</v>
      </c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</row>
    <row r="1108" spans="1:24" ht="13.2" x14ac:dyDescent="0.25">
      <c r="A1108" s="37" t="s">
        <v>105</v>
      </c>
      <c r="B1108" s="9" t="s">
        <v>132</v>
      </c>
      <c r="C1108" s="74" t="s">
        <v>315</v>
      </c>
      <c r="D1108" s="74" t="s">
        <v>535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</row>
    <row r="1109" spans="1:24" ht="13.2" x14ac:dyDescent="0.25">
      <c r="A1109" s="37" t="s">
        <v>105</v>
      </c>
      <c r="B1109" s="9" t="s">
        <v>50</v>
      </c>
      <c r="C1109" s="74" t="s">
        <v>936</v>
      </c>
      <c r="D1109" s="74" t="s">
        <v>533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</row>
    <row r="1110" spans="1:24" ht="13.2" x14ac:dyDescent="0.25">
      <c r="A1110" s="37" t="s">
        <v>105</v>
      </c>
      <c r="B1110" s="9" t="s">
        <v>52</v>
      </c>
      <c r="C1110" s="74" t="s">
        <v>937</v>
      </c>
      <c r="D1110" s="74" t="s">
        <v>533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</row>
    <row r="1111" spans="1:24" ht="13.2" x14ac:dyDescent="0.25">
      <c r="A1111" s="37" t="s">
        <v>105</v>
      </c>
      <c r="B1111" s="9" t="s">
        <v>54</v>
      </c>
      <c r="C1111" s="74" t="s">
        <v>938</v>
      </c>
      <c r="D1111" s="74" t="s">
        <v>533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</row>
    <row r="1112" spans="1:24" ht="13.2" x14ac:dyDescent="0.25">
      <c r="A1112" s="37" t="s">
        <v>105</v>
      </c>
      <c r="B1112" s="9" t="s">
        <v>134</v>
      </c>
      <c r="C1112" s="74" t="s">
        <v>315</v>
      </c>
      <c r="D1112" s="74" t="s">
        <v>535</v>
      </c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</row>
    <row r="1113" spans="1:24" ht="13.2" x14ac:dyDescent="0.25">
      <c r="A1113" s="37" t="s">
        <v>105</v>
      </c>
      <c r="B1113" s="9" t="s">
        <v>135</v>
      </c>
      <c r="C1113" s="74" t="s">
        <v>315</v>
      </c>
      <c r="D1113" s="74" t="s">
        <v>535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</row>
    <row r="1114" spans="1:24" ht="13.2" x14ac:dyDescent="0.25">
      <c r="A1114" s="37" t="s">
        <v>105</v>
      </c>
      <c r="B1114" s="9" t="s">
        <v>136</v>
      </c>
      <c r="C1114" s="74" t="s">
        <v>315</v>
      </c>
      <c r="D1114" s="74" t="s">
        <v>535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</row>
    <row r="1115" spans="1:24" ht="13.2" x14ac:dyDescent="0.25">
      <c r="A1115" s="37" t="s">
        <v>105</v>
      </c>
      <c r="B1115" s="9" t="s">
        <v>939</v>
      </c>
      <c r="C1115" s="74"/>
      <c r="D1115" s="74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</row>
    <row r="1116" spans="1:24" ht="13.2" x14ac:dyDescent="0.25">
      <c r="A1116" s="37" t="s">
        <v>105</v>
      </c>
      <c r="B1116" s="9" t="s">
        <v>56</v>
      </c>
      <c r="C1116" s="74" t="s">
        <v>315</v>
      </c>
      <c r="D1116" s="74" t="s">
        <v>535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</row>
    <row r="1117" spans="1:24" ht="13.2" x14ac:dyDescent="0.25">
      <c r="A1117" s="37" t="s">
        <v>105</v>
      </c>
      <c r="B1117" s="9" t="s">
        <v>337</v>
      </c>
      <c r="C1117" s="74" t="s">
        <v>940</v>
      </c>
      <c r="D1117" s="74" t="s">
        <v>537</v>
      </c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</row>
    <row r="1118" spans="1:24" ht="13.2" x14ac:dyDescent="0.25">
      <c r="A1118" s="37" t="s">
        <v>105</v>
      </c>
      <c r="B1118" s="9" t="s">
        <v>470</v>
      </c>
      <c r="C1118" s="74" t="s">
        <v>315</v>
      </c>
      <c r="D1118" s="74" t="s">
        <v>535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</row>
    <row r="1119" spans="1:24" ht="13.2" x14ac:dyDescent="0.25">
      <c r="A1119" s="37" t="s">
        <v>105</v>
      </c>
      <c r="B1119" s="9" t="s">
        <v>472</v>
      </c>
      <c r="C1119" s="74" t="s">
        <v>356</v>
      </c>
      <c r="D1119" s="74" t="s">
        <v>535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</row>
    <row r="1120" spans="1:24" ht="13.2" x14ac:dyDescent="0.25">
      <c r="A1120" s="37" t="s">
        <v>105</v>
      </c>
      <c r="B1120" s="9" t="s">
        <v>66</v>
      </c>
      <c r="C1120" s="74" t="s">
        <v>941</v>
      </c>
      <c r="D1120" s="74" t="s">
        <v>533</v>
      </c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</row>
    <row r="1121" spans="1:24" ht="13.2" x14ac:dyDescent="0.25">
      <c r="A1121" s="37" t="s">
        <v>105</v>
      </c>
      <c r="B1121" s="9" t="s">
        <v>68</v>
      </c>
      <c r="C1121" s="91">
        <v>0.7</v>
      </c>
      <c r="D1121" s="74" t="s">
        <v>533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</row>
    <row r="1122" spans="1:24" ht="13.2" x14ac:dyDescent="0.25">
      <c r="A1122" s="37" t="s">
        <v>105</v>
      </c>
      <c r="B1122" s="9" t="s">
        <v>341</v>
      </c>
      <c r="C1122" s="74" t="s">
        <v>315</v>
      </c>
      <c r="D1122" s="74" t="s">
        <v>535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</row>
    <row r="1123" spans="1:24" ht="13.2" x14ac:dyDescent="0.25">
      <c r="A1123" s="37" t="s">
        <v>105</v>
      </c>
      <c r="B1123" s="9" t="s">
        <v>72</v>
      </c>
      <c r="C1123" s="74" t="s">
        <v>315</v>
      </c>
      <c r="D1123" s="74" t="s">
        <v>535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</row>
    <row r="1124" spans="1:24" ht="13.2" x14ac:dyDescent="0.25">
      <c r="A1124" s="37" t="s">
        <v>105</v>
      </c>
      <c r="B1124" s="9" t="s">
        <v>342</v>
      </c>
      <c r="C1124" s="74" t="s">
        <v>942</v>
      </c>
      <c r="D1124" s="74" t="s">
        <v>533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</row>
    <row r="1125" spans="1:24" ht="13.2" x14ac:dyDescent="0.25">
      <c r="A1125" s="37" t="s">
        <v>105</v>
      </c>
      <c r="B1125" s="9" t="s">
        <v>343</v>
      </c>
      <c r="C1125" s="90">
        <v>0.77100000000000002</v>
      </c>
      <c r="D1125" s="74" t="s">
        <v>533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</row>
    <row r="1126" spans="1:24" ht="13.2" x14ac:dyDescent="0.25">
      <c r="A1126" s="37" t="s">
        <v>105</v>
      </c>
      <c r="B1126" s="9" t="s">
        <v>344</v>
      </c>
      <c r="C1126" s="90">
        <v>0.13800000000000001</v>
      </c>
      <c r="D1126" s="74" t="s">
        <v>533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</row>
    <row r="1127" spans="1:24" ht="13.2" x14ac:dyDescent="0.25">
      <c r="A1127" s="37" t="s">
        <v>105</v>
      </c>
      <c r="B1127" s="9" t="s">
        <v>345</v>
      </c>
      <c r="C1127" s="74" t="s">
        <v>943</v>
      </c>
      <c r="D1127" s="74" t="s">
        <v>537</v>
      </c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</row>
    <row r="1128" spans="1:24" ht="13.2" x14ac:dyDescent="0.25">
      <c r="A1128" s="37" t="s">
        <v>105</v>
      </c>
      <c r="B1128" s="9" t="s">
        <v>346</v>
      </c>
      <c r="C1128" s="74" t="s">
        <v>315</v>
      </c>
      <c r="D1128" s="74" t="s">
        <v>535</v>
      </c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</row>
    <row r="1129" spans="1:24" ht="13.2" x14ac:dyDescent="0.25">
      <c r="A1129" s="37" t="s">
        <v>105</v>
      </c>
      <c r="B1129" s="9" t="s">
        <v>347</v>
      </c>
      <c r="C1129" s="74" t="s">
        <v>944</v>
      </c>
      <c r="D1129" s="74" t="s">
        <v>537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</row>
    <row r="1130" spans="1:24" ht="13.2" x14ac:dyDescent="0.25">
      <c r="A1130" s="37" t="s">
        <v>105</v>
      </c>
      <c r="B1130" s="9" t="s">
        <v>348</v>
      </c>
      <c r="C1130" s="74" t="s">
        <v>315</v>
      </c>
      <c r="D1130" s="74" t="s">
        <v>535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</row>
    <row r="1131" spans="1:24" ht="13.2" x14ac:dyDescent="0.25">
      <c r="A1131" s="37" t="s">
        <v>105</v>
      </c>
      <c r="B1131" s="9" t="s">
        <v>349</v>
      </c>
      <c r="C1131" s="91">
        <v>0.61</v>
      </c>
      <c r="D1131" s="74" t="s">
        <v>533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</row>
    <row r="1132" spans="1:24" ht="13.2" x14ac:dyDescent="0.25">
      <c r="A1132" s="37" t="s">
        <v>105</v>
      </c>
      <c r="B1132" s="9" t="s">
        <v>150</v>
      </c>
      <c r="C1132" s="90">
        <v>0.48499999999999999</v>
      </c>
      <c r="D1132" s="74" t="s">
        <v>533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</row>
    <row r="1133" spans="1:24" ht="13.2" x14ac:dyDescent="0.25">
      <c r="A1133" s="37" t="s">
        <v>105</v>
      </c>
      <c r="B1133" s="9" t="s">
        <v>351</v>
      </c>
      <c r="C1133" s="74" t="s">
        <v>315</v>
      </c>
      <c r="D1133" s="74" t="s">
        <v>535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</row>
    <row r="1134" spans="1:24" ht="13.2" x14ac:dyDescent="0.25">
      <c r="A1134" s="37" t="s">
        <v>105</v>
      </c>
      <c r="B1134" s="9" t="s">
        <v>152</v>
      </c>
      <c r="C1134" s="74" t="s">
        <v>945</v>
      </c>
      <c r="D1134" s="74" t="s">
        <v>537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</row>
    <row r="1135" spans="1:24" ht="13.2" x14ac:dyDescent="0.25">
      <c r="A1135" s="37" t="s">
        <v>105</v>
      </c>
      <c r="B1135" s="9" t="s">
        <v>78</v>
      </c>
      <c r="C1135" s="74">
        <v>2025</v>
      </c>
      <c r="D1135" s="74" t="s">
        <v>533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</row>
    <row r="1136" spans="1:24" ht="13.2" x14ac:dyDescent="0.25">
      <c r="A1136" s="37" t="s">
        <v>105</v>
      </c>
      <c r="B1136" s="9" t="s">
        <v>80</v>
      </c>
      <c r="C1136" s="74">
        <v>2030</v>
      </c>
      <c r="D1136" s="74" t="s">
        <v>533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</row>
    <row r="1137" spans="1:24" ht="13.2" x14ac:dyDescent="0.25">
      <c r="A1137" s="37" t="s">
        <v>105</v>
      </c>
      <c r="B1137" s="9" t="s">
        <v>82</v>
      </c>
      <c r="C1137" s="74">
        <v>2040</v>
      </c>
      <c r="D1137" s="74" t="s">
        <v>533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</row>
    <row r="1138" spans="1:24" ht="13.2" x14ac:dyDescent="0.25">
      <c r="A1138" s="9" t="s">
        <v>106</v>
      </c>
      <c r="B1138" s="9" t="s">
        <v>2</v>
      </c>
      <c r="C1138" s="74" t="s">
        <v>946</v>
      </c>
      <c r="D1138" s="74" t="s">
        <v>947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</row>
    <row r="1139" spans="1:24" ht="13.2" x14ac:dyDescent="0.25">
      <c r="A1139" s="9" t="s">
        <v>106</v>
      </c>
      <c r="B1139" s="9" t="s">
        <v>4</v>
      </c>
      <c r="C1139" s="74" t="s">
        <v>948</v>
      </c>
      <c r="D1139" s="74" t="s">
        <v>949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</row>
    <row r="1140" spans="1:24" ht="13.2" x14ac:dyDescent="0.25">
      <c r="A1140" s="9" t="s">
        <v>106</v>
      </c>
      <c r="B1140" s="9" t="s">
        <v>6</v>
      </c>
      <c r="C1140" s="74" t="s">
        <v>950</v>
      </c>
      <c r="D1140" s="74" t="s">
        <v>949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</row>
    <row r="1141" spans="1:24" ht="13.2" x14ac:dyDescent="0.25">
      <c r="A1141" s="9" t="s">
        <v>106</v>
      </c>
      <c r="B1141" s="9" t="s">
        <v>8</v>
      </c>
      <c r="C1141" s="74" t="s">
        <v>951</v>
      </c>
      <c r="D1141" s="74" t="s">
        <v>533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</row>
    <row r="1142" spans="1:24" ht="13.2" x14ac:dyDescent="0.25">
      <c r="A1142" s="9" t="s">
        <v>106</v>
      </c>
      <c r="B1142" s="9" t="s">
        <v>10</v>
      </c>
      <c r="C1142" s="74" t="s">
        <v>315</v>
      </c>
      <c r="D1142" s="74" t="s">
        <v>535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</row>
    <row r="1143" spans="1:24" ht="13.2" x14ac:dyDescent="0.25">
      <c r="A1143" s="9" t="s">
        <v>106</v>
      </c>
      <c r="B1143" s="9" t="s">
        <v>12</v>
      </c>
      <c r="C1143" s="74" t="s">
        <v>315</v>
      </c>
      <c r="D1143" s="74" t="s">
        <v>535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</row>
    <row r="1144" spans="1:24" ht="13.2" x14ac:dyDescent="0.25">
      <c r="A1144" s="9" t="s">
        <v>106</v>
      </c>
      <c r="B1144" s="9" t="s">
        <v>14</v>
      </c>
      <c r="C1144" s="74" t="s">
        <v>315</v>
      </c>
      <c r="D1144" s="74" t="s">
        <v>535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</row>
    <row r="1145" spans="1:24" ht="13.2" x14ac:dyDescent="0.25">
      <c r="A1145" s="9" t="s">
        <v>106</v>
      </c>
      <c r="B1145" s="9" t="s">
        <v>16</v>
      </c>
      <c r="C1145" s="74" t="s">
        <v>952</v>
      </c>
      <c r="D1145" s="74" t="s">
        <v>947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</row>
    <row r="1146" spans="1:24" ht="13.2" x14ac:dyDescent="0.25">
      <c r="A1146" s="9" t="s">
        <v>106</v>
      </c>
      <c r="B1146" s="9" t="s">
        <v>18</v>
      </c>
      <c r="C1146" s="74" t="s">
        <v>771</v>
      </c>
      <c r="D1146" s="74" t="s">
        <v>535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</row>
    <row r="1147" spans="1:24" ht="13.2" x14ac:dyDescent="0.25">
      <c r="A1147" s="9" t="s">
        <v>106</v>
      </c>
      <c r="B1147" s="9" t="s">
        <v>20</v>
      </c>
      <c r="C1147" s="74" t="s">
        <v>953</v>
      </c>
      <c r="D1147" s="74" t="s">
        <v>949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</row>
    <row r="1148" spans="1:24" ht="13.2" x14ac:dyDescent="0.25">
      <c r="A1148" s="9" t="s">
        <v>106</v>
      </c>
      <c r="B1148" s="9" t="s">
        <v>22</v>
      </c>
      <c r="C1148" s="74" t="s">
        <v>954</v>
      </c>
      <c r="D1148" s="74" t="s">
        <v>949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</row>
    <row r="1149" spans="1:24" ht="13.2" x14ac:dyDescent="0.25">
      <c r="A1149" s="9" t="s">
        <v>106</v>
      </c>
      <c r="B1149" s="9" t="s">
        <v>24</v>
      </c>
      <c r="C1149" s="74" t="s">
        <v>955</v>
      </c>
      <c r="D1149" s="74" t="s">
        <v>949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</row>
    <row r="1150" spans="1:24" ht="13.2" x14ac:dyDescent="0.25">
      <c r="A1150" s="9" t="s">
        <v>106</v>
      </c>
      <c r="B1150" s="9" t="s">
        <v>26</v>
      </c>
      <c r="C1150" s="74" t="s">
        <v>956</v>
      </c>
      <c r="D1150" s="74" t="s">
        <v>537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</row>
    <row r="1151" spans="1:24" ht="13.2" x14ac:dyDescent="0.25">
      <c r="A1151" s="9" t="s">
        <v>106</v>
      </c>
      <c r="B1151" s="9" t="s">
        <v>28</v>
      </c>
      <c r="C1151" s="74" t="s">
        <v>957</v>
      </c>
      <c r="D1151" s="74" t="s">
        <v>947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</row>
    <row r="1152" spans="1:24" ht="13.2" x14ac:dyDescent="0.25">
      <c r="A1152" s="9" t="s">
        <v>106</v>
      </c>
      <c r="B1152" s="9" t="s">
        <v>30</v>
      </c>
      <c r="C1152" s="74" t="s">
        <v>958</v>
      </c>
      <c r="D1152" s="74" t="s">
        <v>947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</row>
    <row r="1153" spans="1:24" ht="13.2" x14ac:dyDescent="0.25">
      <c r="A1153" s="9" t="s">
        <v>106</v>
      </c>
      <c r="B1153" s="9" t="s">
        <v>32</v>
      </c>
      <c r="C1153" s="74" t="s">
        <v>959</v>
      </c>
      <c r="D1153" s="74" t="s">
        <v>947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</row>
    <row r="1154" spans="1:24" ht="13.2" x14ac:dyDescent="0.25">
      <c r="A1154" s="9" t="s">
        <v>106</v>
      </c>
      <c r="B1154" s="9" t="s">
        <v>34</v>
      </c>
      <c r="C1154" s="74" t="s">
        <v>960</v>
      </c>
      <c r="D1154" s="74" t="s">
        <v>947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</row>
    <row r="1155" spans="1:24" ht="13.2" x14ac:dyDescent="0.25">
      <c r="A1155" s="9" t="s">
        <v>106</v>
      </c>
      <c r="B1155" s="9" t="s">
        <v>36</v>
      </c>
      <c r="C1155" s="74" t="s">
        <v>315</v>
      </c>
      <c r="D1155" s="74" t="s">
        <v>535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</row>
    <row r="1156" spans="1:24" ht="13.2" x14ac:dyDescent="0.25">
      <c r="A1156" s="9" t="s">
        <v>106</v>
      </c>
      <c r="B1156" s="9" t="s">
        <v>38</v>
      </c>
      <c r="C1156" s="74" t="s">
        <v>315</v>
      </c>
      <c r="D1156" s="74" t="s">
        <v>535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</row>
    <row r="1157" spans="1:24" ht="13.2" x14ac:dyDescent="0.25">
      <c r="A1157" s="9" t="s">
        <v>106</v>
      </c>
      <c r="B1157" s="9" t="s">
        <v>40</v>
      </c>
      <c r="C1157" s="74" t="s">
        <v>961</v>
      </c>
      <c r="D1157" s="74" t="s">
        <v>947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</row>
    <row r="1158" spans="1:24" ht="13.2" x14ac:dyDescent="0.25">
      <c r="A1158" s="9" t="s">
        <v>106</v>
      </c>
      <c r="B1158" s="9" t="s">
        <v>42</v>
      </c>
      <c r="C1158" s="74" t="s">
        <v>962</v>
      </c>
      <c r="D1158" s="74" t="s">
        <v>949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</row>
    <row r="1159" spans="1:24" ht="13.2" x14ac:dyDescent="0.25">
      <c r="A1159" s="9" t="s">
        <v>106</v>
      </c>
      <c r="B1159" s="9" t="s">
        <v>44</v>
      </c>
      <c r="C1159" s="74" t="s">
        <v>963</v>
      </c>
      <c r="D1159" s="74" t="s">
        <v>949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</row>
    <row r="1160" spans="1:24" ht="13.2" x14ac:dyDescent="0.25">
      <c r="A1160" s="9" t="s">
        <v>106</v>
      </c>
      <c r="B1160" s="9" t="s">
        <v>46</v>
      </c>
      <c r="C1160" s="74" t="s">
        <v>315</v>
      </c>
      <c r="D1160" s="74" t="s">
        <v>535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</row>
    <row r="1161" spans="1:24" ht="13.2" x14ac:dyDescent="0.25">
      <c r="A1161" s="9" t="s">
        <v>106</v>
      </c>
      <c r="B1161" s="9" t="s">
        <v>48</v>
      </c>
      <c r="C1161" s="74" t="s">
        <v>315</v>
      </c>
      <c r="D1161" s="74" t="s">
        <v>535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</row>
    <row r="1162" spans="1:24" ht="13.2" x14ac:dyDescent="0.25">
      <c r="A1162" s="9" t="s">
        <v>106</v>
      </c>
      <c r="B1162" s="9" t="s">
        <v>124</v>
      </c>
      <c r="C1162" s="74" t="s">
        <v>964</v>
      </c>
      <c r="D1162" s="74" t="s">
        <v>947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</row>
    <row r="1163" spans="1:24" ht="13.2" x14ac:dyDescent="0.25">
      <c r="A1163" s="9" t="s">
        <v>106</v>
      </c>
      <c r="B1163" s="9" t="s">
        <v>126</v>
      </c>
      <c r="C1163" s="74" t="s">
        <v>965</v>
      </c>
      <c r="D1163" s="74" t="s">
        <v>947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</row>
    <row r="1164" spans="1:24" ht="13.2" x14ac:dyDescent="0.25">
      <c r="A1164" s="9" t="s">
        <v>106</v>
      </c>
      <c r="B1164" s="9" t="s">
        <v>130</v>
      </c>
      <c r="C1164" s="74" t="s">
        <v>966</v>
      </c>
      <c r="D1164" s="74" t="s">
        <v>949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</row>
    <row r="1165" spans="1:24" ht="13.2" x14ac:dyDescent="0.25">
      <c r="A1165" s="9" t="s">
        <v>106</v>
      </c>
      <c r="B1165" s="9" t="s">
        <v>131</v>
      </c>
      <c r="C1165" s="74" t="s">
        <v>315</v>
      </c>
      <c r="D1165" s="74" t="s">
        <v>535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</row>
    <row r="1166" spans="1:24" ht="13.2" x14ac:dyDescent="0.25">
      <c r="A1166" s="9" t="s">
        <v>106</v>
      </c>
      <c r="B1166" s="9" t="s">
        <v>132</v>
      </c>
      <c r="C1166" s="74" t="s">
        <v>967</v>
      </c>
      <c r="D1166" s="74" t="s">
        <v>947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</row>
    <row r="1167" spans="1:24" ht="13.2" x14ac:dyDescent="0.25">
      <c r="A1167" s="9" t="s">
        <v>106</v>
      </c>
      <c r="B1167" s="9" t="s">
        <v>50</v>
      </c>
      <c r="C1167" s="74" t="s">
        <v>968</v>
      </c>
      <c r="D1167" s="74" t="s">
        <v>949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</row>
    <row r="1168" spans="1:24" ht="13.2" x14ac:dyDescent="0.25">
      <c r="A1168" s="9" t="s">
        <v>106</v>
      </c>
      <c r="B1168" s="9" t="s">
        <v>52</v>
      </c>
      <c r="C1168" s="74" t="s">
        <v>315</v>
      </c>
      <c r="D1168" s="74" t="s">
        <v>535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</row>
    <row r="1169" spans="1:24" ht="13.2" x14ac:dyDescent="0.25">
      <c r="A1169" s="9" t="s">
        <v>106</v>
      </c>
      <c r="B1169" s="9" t="s">
        <v>54</v>
      </c>
      <c r="C1169" s="74" t="s">
        <v>969</v>
      </c>
      <c r="D1169" s="74" t="s">
        <v>947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</row>
    <row r="1170" spans="1:24" ht="13.2" x14ac:dyDescent="0.25">
      <c r="A1170" s="9" t="s">
        <v>106</v>
      </c>
      <c r="B1170" s="9" t="s">
        <v>134</v>
      </c>
      <c r="C1170" s="74" t="s">
        <v>970</v>
      </c>
      <c r="D1170" s="74" t="s">
        <v>949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</row>
    <row r="1171" spans="1:24" ht="13.2" x14ac:dyDescent="0.25">
      <c r="A1171" s="9" t="s">
        <v>106</v>
      </c>
      <c r="B1171" s="9" t="s">
        <v>135</v>
      </c>
      <c r="C1171" s="74" t="s">
        <v>971</v>
      </c>
      <c r="D1171" s="74" t="s">
        <v>949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</row>
    <row r="1172" spans="1:24" ht="13.2" x14ac:dyDescent="0.25">
      <c r="A1172" s="9" t="s">
        <v>106</v>
      </c>
      <c r="B1172" s="9" t="s">
        <v>136</v>
      </c>
      <c r="C1172" s="74" t="s">
        <v>972</v>
      </c>
      <c r="D1172" s="74" t="s">
        <v>949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</row>
    <row r="1173" spans="1:24" ht="13.2" x14ac:dyDescent="0.25">
      <c r="A1173" s="9" t="s">
        <v>106</v>
      </c>
      <c r="B1173" s="9" t="s">
        <v>56</v>
      </c>
      <c r="C1173" s="74" t="s">
        <v>315</v>
      </c>
      <c r="D1173" s="74" t="s">
        <v>535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</row>
    <row r="1174" spans="1:24" ht="13.2" x14ac:dyDescent="0.25">
      <c r="A1174" s="9" t="s">
        <v>106</v>
      </c>
      <c r="B1174" s="9" t="s">
        <v>337</v>
      </c>
      <c r="C1174" s="74" t="s">
        <v>973</v>
      </c>
      <c r="D1174" s="74" t="s">
        <v>949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</row>
    <row r="1175" spans="1:24" ht="13.2" x14ac:dyDescent="0.25">
      <c r="A1175" s="9" t="s">
        <v>106</v>
      </c>
      <c r="B1175" s="9" t="s">
        <v>339</v>
      </c>
      <c r="C1175" s="74" t="s">
        <v>315</v>
      </c>
      <c r="D1175" s="74" t="s">
        <v>535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</row>
    <row r="1176" spans="1:24" ht="13.2" x14ac:dyDescent="0.25">
      <c r="A1176" s="9" t="s">
        <v>106</v>
      </c>
      <c r="B1176" s="9" t="s">
        <v>66</v>
      </c>
      <c r="C1176" s="74" t="s">
        <v>974</v>
      </c>
      <c r="D1176" s="74" t="s">
        <v>947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</row>
    <row r="1177" spans="1:24" ht="13.2" x14ac:dyDescent="0.25">
      <c r="A1177" s="9" t="s">
        <v>106</v>
      </c>
      <c r="B1177" s="9" t="s">
        <v>68</v>
      </c>
      <c r="C1177" s="91">
        <v>0.3</v>
      </c>
      <c r="D1177" s="74" t="s">
        <v>947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</row>
    <row r="1178" spans="1:24" ht="13.2" x14ac:dyDescent="0.25">
      <c r="A1178" s="9" t="s">
        <v>106</v>
      </c>
      <c r="B1178" s="9" t="s">
        <v>341</v>
      </c>
      <c r="C1178" s="74" t="s">
        <v>315</v>
      </c>
      <c r="D1178" s="74" t="s">
        <v>535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</row>
    <row r="1179" spans="1:24" ht="13.2" x14ac:dyDescent="0.25">
      <c r="A1179" s="9" t="s">
        <v>106</v>
      </c>
      <c r="B1179" s="9" t="s">
        <v>72</v>
      </c>
      <c r="C1179" s="74" t="s">
        <v>315</v>
      </c>
      <c r="D1179" s="74" t="s">
        <v>535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</row>
    <row r="1180" spans="1:24" ht="13.2" x14ac:dyDescent="0.25">
      <c r="A1180" s="9" t="s">
        <v>106</v>
      </c>
      <c r="B1180" s="9" t="s">
        <v>74</v>
      </c>
      <c r="C1180" s="74" t="s">
        <v>975</v>
      </c>
      <c r="D1180" s="74" t="s">
        <v>949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</row>
    <row r="1181" spans="1:24" ht="13.2" x14ac:dyDescent="0.25">
      <c r="A1181" s="9" t="s">
        <v>106</v>
      </c>
      <c r="B1181" s="9" t="s">
        <v>142</v>
      </c>
      <c r="C1181" s="74" t="s">
        <v>976</v>
      </c>
      <c r="D1181" s="74" t="s">
        <v>949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</row>
    <row r="1182" spans="1:24" ht="13.2" x14ac:dyDescent="0.25">
      <c r="A1182" s="9" t="s">
        <v>106</v>
      </c>
      <c r="B1182" s="9" t="s">
        <v>143</v>
      </c>
      <c r="C1182" s="74" t="s">
        <v>977</v>
      </c>
      <c r="D1182" s="74" t="s">
        <v>949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</row>
    <row r="1183" spans="1:24" ht="13.2" x14ac:dyDescent="0.25">
      <c r="A1183" s="9" t="s">
        <v>106</v>
      </c>
      <c r="B1183" s="9" t="s">
        <v>144</v>
      </c>
      <c r="C1183" s="74" t="s">
        <v>315</v>
      </c>
      <c r="D1183" s="74" t="s">
        <v>535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</row>
    <row r="1184" spans="1:24" ht="13.2" x14ac:dyDescent="0.25">
      <c r="A1184" s="9" t="s">
        <v>106</v>
      </c>
      <c r="B1184" s="9" t="s">
        <v>145</v>
      </c>
      <c r="C1184" s="74" t="s">
        <v>978</v>
      </c>
      <c r="D1184" s="74" t="s">
        <v>949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</row>
    <row r="1185" spans="1:24" ht="13.2" x14ac:dyDescent="0.25">
      <c r="A1185" s="9" t="s">
        <v>106</v>
      </c>
      <c r="B1185" s="9" t="s">
        <v>146</v>
      </c>
      <c r="C1185" s="74" t="s">
        <v>979</v>
      </c>
      <c r="D1185" s="74" t="s">
        <v>947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</row>
    <row r="1186" spans="1:24" ht="13.2" x14ac:dyDescent="0.25">
      <c r="A1186" s="9" t="s">
        <v>106</v>
      </c>
      <c r="B1186" s="9" t="s">
        <v>147</v>
      </c>
      <c r="C1186" s="74" t="s">
        <v>315</v>
      </c>
      <c r="D1186" s="74" t="s">
        <v>535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</row>
    <row r="1187" spans="1:24" ht="13.2" x14ac:dyDescent="0.25">
      <c r="A1187" s="9" t="s">
        <v>106</v>
      </c>
      <c r="B1187" s="9" t="s">
        <v>76</v>
      </c>
      <c r="C1187" s="74" t="s">
        <v>980</v>
      </c>
      <c r="D1187" s="74" t="s">
        <v>949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</row>
    <row r="1188" spans="1:24" ht="13.2" x14ac:dyDescent="0.25">
      <c r="A1188" s="9" t="s">
        <v>106</v>
      </c>
      <c r="B1188" s="9" t="s">
        <v>150</v>
      </c>
      <c r="C1188" s="74" t="s">
        <v>315</v>
      </c>
      <c r="D1188" s="74" t="s">
        <v>535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</row>
    <row r="1189" spans="1:24" ht="13.2" x14ac:dyDescent="0.25">
      <c r="A1189" s="9" t="s">
        <v>106</v>
      </c>
      <c r="B1189" s="9" t="s">
        <v>351</v>
      </c>
      <c r="C1189" s="74" t="s">
        <v>315</v>
      </c>
      <c r="D1189" s="74" t="s">
        <v>535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</row>
    <row r="1190" spans="1:24" ht="13.2" x14ac:dyDescent="0.25">
      <c r="A1190" s="9" t="s">
        <v>106</v>
      </c>
      <c r="B1190" s="9" t="s">
        <v>152</v>
      </c>
      <c r="C1190" s="74" t="s">
        <v>315</v>
      </c>
      <c r="D1190" s="74" t="s">
        <v>535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</row>
    <row r="1191" spans="1:24" ht="13.2" x14ac:dyDescent="0.25">
      <c r="A1191" s="9" t="s">
        <v>106</v>
      </c>
      <c r="B1191" s="9" t="s">
        <v>981</v>
      </c>
      <c r="C1191" s="74"/>
      <c r="D1191" s="74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</row>
    <row r="1192" spans="1:24" ht="13.2" x14ac:dyDescent="0.25">
      <c r="A1192" s="9" t="s">
        <v>106</v>
      </c>
      <c r="B1192" s="9" t="s">
        <v>982</v>
      </c>
      <c r="C1192" s="74"/>
      <c r="D1192" s="74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</row>
    <row r="1193" spans="1:24" ht="13.2" x14ac:dyDescent="0.25">
      <c r="A1193" s="9" t="s">
        <v>106</v>
      </c>
      <c r="B1193" s="9" t="s">
        <v>983</v>
      </c>
      <c r="C1193" s="74"/>
      <c r="D1193" s="74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</row>
    <row r="1194" spans="1:24" ht="13.2" x14ac:dyDescent="0.25">
      <c r="A1194" s="9" t="s">
        <v>106</v>
      </c>
      <c r="B1194" s="9" t="s">
        <v>984</v>
      </c>
      <c r="C1194" s="74"/>
      <c r="D1194" s="74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</row>
    <row r="1195" spans="1:24" ht="13.2" x14ac:dyDescent="0.25">
      <c r="A1195" s="9" t="s">
        <v>106</v>
      </c>
      <c r="B1195" s="9" t="s">
        <v>78</v>
      </c>
      <c r="C1195" s="74" t="s">
        <v>985</v>
      </c>
      <c r="D1195" s="74" t="s">
        <v>949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</row>
    <row r="1196" spans="1:24" ht="13.2" x14ac:dyDescent="0.25">
      <c r="A1196" s="9" t="s">
        <v>106</v>
      </c>
      <c r="B1196" s="9" t="s">
        <v>80</v>
      </c>
      <c r="C1196" s="74">
        <v>2030</v>
      </c>
      <c r="D1196" s="74" t="s">
        <v>947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</row>
    <row r="1197" spans="1:24" ht="13.2" x14ac:dyDescent="0.25">
      <c r="A1197" s="9" t="s">
        <v>106</v>
      </c>
      <c r="B1197" s="9" t="s">
        <v>82</v>
      </c>
      <c r="C1197" s="74" t="s">
        <v>986</v>
      </c>
      <c r="D1197" s="74" t="s">
        <v>537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</row>
    <row r="1198" spans="1:24" ht="13.2" x14ac:dyDescent="0.25">
      <c r="A1198" s="9" t="s">
        <v>107</v>
      </c>
      <c r="B1198" s="9" t="s">
        <v>2</v>
      </c>
      <c r="C1198" s="74" t="s">
        <v>525</v>
      </c>
      <c r="D1198" s="74" t="s">
        <v>533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</row>
    <row r="1199" spans="1:24" ht="13.2" x14ac:dyDescent="0.25">
      <c r="A1199" s="9" t="s">
        <v>107</v>
      </c>
      <c r="B1199" s="9" t="s">
        <v>4</v>
      </c>
      <c r="C1199" s="74" t="s">
        <v>315</v>
      </c>
      <c r="D1199" s="74" t="s">
        <v>535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</row>
    <row r="1200" spans="1:24" ht="13.2" x14ac:dyDescent="0.25">
      <c r="A1200" s="9" t="s">
        <v>107</v>
      </c>
      <c r="B1200" s="9" t="s">
        <v>6</v>
      </c>
      <c r="C1200" s="74" t="s">
        <v>315</v>
      </c>
      <c r="D1200" s="74" t="s">
        <v>535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</row>
    <row r="1201" spans="1:24" ht="13.2" x14ac:dyDescent="0.25">
      <c r="A1201" s="9" t="s">
        <v>107</v>
      </c>
      <c r="B1201" s="9" t="s">
        <v>8</v>
      </c>
      <c r="C1201" s="74" t="s">
        <v>987</v>
      </c>
      <c r="D1201" s="74" t="s">
        <v>533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</row>
    <row r="1202" spans="1:24" ht="13.2" x14ac:dyDescent="0.25">
      <c r="A1202" s="9" t="s">
        <v>107</v>
      </c>
      <c r="B1202" s="9" t="s">
        <v>10</v>
      </c>
      <c r="C1202" s="74" t="s">
        <v>315</v>
      </c>
      <c r="D1202" s="74" t="s">
        <v>535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</row>
    <row r="1203" spans="1:24" ht="13.2" x14ac:dyDescent="0.25">
      <c r="A1203" s="9" t="s">
        <v>107</v>
      </c>
      <c r="B1203" s="9" t="s">
        <v>12</v>
      </c>
      <c r="C1203" s="74" t="s">
        <v>315</v>
      </c>
      <c r="D1203" s="74" t="s">
        <v>535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</row>
    <row r="1204" spans="1:24" ht="13.2" x14ac:dyDescent="0.25">
      <c r="A1204" s="9" t="s">
        <v>107</v>
      </c>
      <c r="B1204" s="9" t="s">
        <v>14</v>
      </c>
      <c r="C1204" s="74" t="s">
        <v>988</v>
      </c>
      <c r="D1204" s="74" t="s">
        <v>533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</row>
    <row r="1205" spans="1:24" ht="13.2" x14ac:dyDescent="0.25">
      <c r="A1205" s="9" t="s">
        <v>107</v>
      </c>
      <c r="B1205" s="9" t="s">
        <v>16</v>
      </c>
      <c r="C1205" s="74" t="s">
        <v>989</v>
      </c>
      <c r="D1205" s="74" t="s">
        <v>537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</row>
    <row r="1206" spans="1:24" ht="13.2" x14ac:dyDescent="0.25">
      <c r="A1206" s="9" t="s">
        <v>107</v>
      </c>
      <c r="B1206" s="9" t="s">
        <v>18</v>
      </c>
      <c r="C1206" s="74" t="s">
        <v>315</v>
      </c>
      <c r="D1206" s="74" t="s">
        <v>535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</row>
    <row r="1207" spans="1:24" ht="13.2" x14ac:dyDescent="0.25">
      <c r="A1207" s="9" t="s">
        <v>107</v>
      </c>
      <c r="B1207" s="9" t="s">
        <v>20</v>
      </c>
      <c r="C1207" s="74" t="s">
        <v>315</v>
      </c>
      <c r="D1207" s="74" t="s">
        <v>535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</row>
    <row r="1208" spans="1:24" ht="13.2" x14ac:dyDescent="0.25">
      <c r="A1208" s="9" t="s">
        <v>107</v>
      </c>
      <c r="B1208" s="9" t="s">
        <v>22</v>
      </c>
      <c r="C1208" s="74" t="s">
        <v>990</v>
      </c>
      <c r="D1208" s="74" t="s">
        <v>537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</row>
    <row r="1209" spans="1:24" ht="13.2" x14ac:dyDescent="0.25">
      <c r="A1209" s="9" t="s">
        <v>107</v>
      </c>
      <c r="B1209" s="9" t="s">
        <v>24</v>
      </c>
      <c r="C1209" s="74" t="s">
        <v>991</v>
      </c>
      <c r="D1209" s="74" t="s">
        <v>537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</row>
    <row r="1210" spans="1:24" ht="13.2" x14ac:dyDescent="0.25">
      <c r="A1210" s="9" t="s">
        <v>107</v>
      </c>
      <c r="B1210" s="9" t="s">
        <v>26</v>
      </c>
      <c r="C1210" s="74" t="s">
        <v>315</v>
      </c>
      <c r="D1210" s="74" t="s">
        <v>535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</row>
    <row r="1211" spans="1:24" ht="13.2" x14ac:dyDescent="0.25">
      <c r="A1211" s="9" t="s">
        <v>107</v>
      </c>
      <c r="B1211" s="9" t="s">
        <v>28</v>
      </c>
      <c r="C1211" s="74" t="s">
        <v>315</v>
      </c>
      <c r="D1211" s="74" t="s">
        <v>535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</row>
    <row r="1212" spans="1:24" ht="13.2" x14ac:dyDescent="0.25">
      <c r="A1212" s="9" t="s">
        <v>107</v>
      </c>
      <c r="B1212" s="9" t="s">
        <v>30</v>
      </c>
      <c r="C1212" s="74" t="s">
        <v>315</v>
      </c>
      <c r="D1212" s="74" t="s">
        <v>535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</row>
    <row r="1213" spans="1:24" ht="13.2" x14ac:dyDescent="0.25">
      <c r="A1213" s="9" t="s">
        <v>107</v>
      </c>
      <c r="B1213" s="9" t="s">
        <v>32</v>
      </c>
      <c r="C1213" s="74" t="s">
        <v>315</v>
      </c>
      <c r="D1213" s="74" t="s">
        <v>535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</row>
    <row r="1214" spans="1:24" ht="13.2" x14ac:dyDescent="0.25">
      <c r="A1214" s="9" t="s">
        <v>107</v>
      </c>
      <c r="B1214" s="9" t="s">
        <v>34</v>
      </c>
      <c r="C1214" s="74" t="s">
        <v>315</v>
      </c>
      <c r="D1214" s="74" t="s">
        <v>535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</row>
    <row r="1215" spans="1:24" ht="13.2" x14ac:dyDescent="0.25">
      <c r="A1215" s="9" t="s">
        <v>107</v>
      </c>
      <c r="B1215" s="9" t="s">
        <v>36</v>
      </c>
      <c r="C1215" s="74" t="s">
        <v>315</v>
      </c>
      <c r="D1215" s="74" t="s">
        <v>535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</row>
    <row r="1216" spans="1:24" ht="13.2" x14ac:dyDescent="0.25">
      <c r="A1216" s="9" t="s">
        <v>107</v>
      </c>
      <c r="B1216" s="9" t="s">
        <v>38</v>
      </c>
      <c r="C1216" s="74" t="s">
        <v>315</v>
      </c>
      <c r="D1216" s="74" t="s">
        <v>535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</row>
    <row r="1217" spans="1:24" ht="13.2" x14ac:dyDescent="0.25">
      <c r="A1217" s="9" t="s">
        <v>107</v>
      </c>
      <c r="B1217" s="9" t="s">
        <v>40</v>
      </c>
      <c r="C1217" s="74" t="s">
        <v>992</v>
      </c>
      <c r="D1217" s="74" t="s">
        <v>533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</row>
    <row r="1218" spans="1:24" ht="13.2" x14ac:dyDescent="0.25">
      <c r="A1218" s="9" t="s">
        <v>107</v>
      </c>
      <c r="B1218" s="9" t="s">
        <v>42</v>
      </c>
      <c r="C1218" s="74" t="s">
        <v>993</v>
      </c>
      <c r="D1218" s="74" t="s">
        <v>535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</row>
    <row r="1219" spans="1:24" ht="13.2" x14ac:dyDescent="0.25">
      <c r="A1219" s="9" t="s">
        <v>107</v>
      </c>
      <c r="B1219" s="9" t="s">
        <v>44</v>
      </c>
      <c r="C1219" s="74" t="s">
        <v>315</v>
      </c>
      <c r="D1219" s="74" t="s">
        <v>535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</row>
    <row r="1220" spans="1:24" ht="13.2" x14ac:dyDescent="0.25">
      <c r="A1220" s="9" t="s">
        <v>107</v>
      </c>
      <c r="B1220" s="9" t="s">
        <v>46</v>
      </c>
      <c r="C1220" s="74" t="s">
        <v>994</v>
      </c>
      <c r="D1220" s="74" t="s">
        <v>533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</row>
    <row r="1221" spans="1:24" ht="13.2" x14ac:dyDescent="0.25">
      <c r="A1221" s="9" t="s">
        <v>107</v>
      </c>
      <c r="B1221" s="9" t="s">
        <v>48</v>
      </c>
      <c r="C1221" s="74" t="s">
        <v>356</v>
      </c>
      <c r="D1221" s="74" t="s">
        <v>535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</row>
    <row r="1222" spans="1:24" ht="13.2" x14ac:dyDescent="0.25">
      <c r="A1222" s="9" t="s">
        <v>107</v>
      </c>
      <c r="B1222" s="9" t="s">
        <v>124</v>
      </c>
      <c r="C1222" s="74" t="s">
        <v>995</v>
      </c>
      <c r="D1222" s="74" t="s">
        <v>535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</row>
    <row r="1223" spans="1:24" ht="13.2" x14ac:dyDescent="0.25">
      <c r="A1223" s="9" t="s">
        <v>107</v>
      </c>
      <c r="B1223" s="9" t="s">
        <v>126</v>
      </c>
      <c r="C1223" s="74" t="s">
        <v>996</v>
      </c>
      <c r="D1223" s="74" t="s">
        <v>537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</row>
    <row r="1224" spans="1:24" ht="13.2" x14ac:dyDescent="0.25">
      <c r="A1224" s="9" t="s">
        <v>107</v>
      </c>
      <c r="B1224" s="9" t="s">
        <v>130</v>
      </c>
      <c r="C1224" s="74" t="s">
        <v>997</v>
      </c>
      <c r="D1224" s="74" t="s">
        <v>537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</row>
    <row r="1225" spans="1:24" ht="13.2" x14ac:dyDescent="0.25">
      <c r="A1225" s="9" t="s">
        <v>107</v>
      </c>
      <c r="B1225" s="9" t="s">
        <v>131</v>
      </c>
      <c r="C1225" s="74" t="s">
        <v>998</v>
      </c>
      <c r="D1225" s="74" t="s">
        <v>537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</row>
    <row r="1226" spans="1:24" ht="13.2" x14ac:dyDescent="0.25">
      <c r="A1226" s="9" t="s">
        <v>107</v>
      </c>
      <c r="B1226" s="9" t="s">
        <v>132</v>
      </c>
      <c r="C1226" s="74" t="s">
        <v>999</v>
      </c>
      <c r="D1226" s="74" t="s">
        <v>537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</row>
    <row r="1227" spans="1:24" ht="13.2" x14ac:dyDescent="0.25">
      <c r="A1227" s="9" t="s">
        <v>107</v>
      </c>
      <c r="B1227" s="9" t="s">
        <v>50</v>
      </c>
      <c r="C1227" s="74" t="s">
        <v>1000</v>
      </c>
      <c r="D1227" s="74" t="s">
        <v>533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</row>
    <row r="1228" spans="1:24" ht="13.2" x14ac:dyDescent="0.25">
      <c r="A1228" s="9" t="s">
        <v>107</v>
      </c>
      <c r="B1228" s="9" t="s">
        <v>52</v>
      </c>
      <c r="C1228" s="74" t="s">
        <v>1001</v>
      </c>
      <c r="D1228" s="74" t="s">
        <v>533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</row>
    <row r="1229" spans="1:24" ht="13.2" x14ac:dyDescent="0.25">
      <c r="A1229" s="9" t="s">
        <v>107</v>
      </c>
      <c r="B1229" s="9" t="s">
        <v>54</v>
      </c>
      <c r="C1229" s="74" t="s">
        <v>1002</v>
      </c>
      <c r="D1229" s="74" t="s">
        <v>533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</row>
    <row r="1230" spans="1:24" ht="13.2" x14ac:dyDescent="0.25">
      <c r="A1230" s="9" t="s">
        <v>107</v>
      </c>
      <c r="B1230" s="9" t="s">
        <v>134</v>
      </c>
      <c r="C1230" s="74" t="s">
        <v>1003</v>
      </c>
      <c r="D1230" s="74" t="s">
        <v>537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</row>
    <row r="1231" spans="1:24" ht="13.2" x14ac:dyDescent="0.25">
      <c r="A1231" s="9" t="s">
        <v>107</v>
      </c>
      <c r="B1231" s="9" t="s">
        <v>135</v>
      </c>
      <c r="C1231" s="74" t="s">
        <v>1004</v>
      </c>
      <c r="D1231" s="74" t="s">
        <v>537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</row>
    <row r="1232" spans="1:24" ht="13.2" x14ac:dyDescent="0.25">
      <c r="A1232" s="9" t="s">
        <v>107</v>
      </c>
      <c r="B1232" s="9" t="s">
        <v>136</v>
      </c>
      <c r="C1232" s="74" t="s">
        <v>1005</v>
      </c>
      <c r="D1232" s="74" t="s">
        <v>537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</row>
    <row r="1233" spans="1:24" ht="13.2" x14ac:dyDescent="0.25">
      <c r="A1233" s="9" t="s">
        <v>107</v>
      </c>
      <c r="B1233" s="9" t="s">
        <v>56</v>
      </c>
      <c r="C1233" s="74" t="s">
        <v>1006</v>
      </c>
      <c r="D1233" s="74" t="s">
        <v>533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</row>
    <row r="1234" spans="1:24" ht="13.2" x14ac:dyDescent="0.25">
      <c r="A1234" s="9" t="s">
        <v>107</v>
      </c>
      <c r="B1234" s="9" t="s">
        <v>337</v>
      </c>
      <c r="C1234" s="74" t="s">
        <v>356</v>
      </c>
      <c r="D1234" s="74" t="s">
        <v>535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</row>
    <row r="1235" spans="1:24" ht="13.2" x14ac:dyDescent="0.25">
      <c r="A1235" s="9" t="s">
        <v>107</v>
      </c>
      <c r="B1235" s="9" t="s">
        <v>470</v>
      </c>
      <c r="C1235" s="74" t="s">
        <v>356</v>
      </c>
      <c r="D1235" s="74" t="s">
        <v>535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</row>
    <row r="1236" spans="1:24" ht="13.2" x14ac:dyDescent="0.25">
      <c r="A1236" s="9" t="s">
        <v>107</v>
      </c>
      <c r="B1236" s="9" t="s">
        <v>472</v>
      </c>
      <c r="C1236" s="74" t="s">
        <v>1007</v>
      </c>
      <c r="D1236" s="74" t="s">
        <v>537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</row>
    <row r="1237" spans="1:24" ht="13.2" x14ac:dyDescent="0.25">
      <c r="A1237" s="9" t="s">
        <v>107</v>
      </c>
      <c r="B1237" s="9" t="s">
        <v>66</v>
      </c>
      <c r="C1237" s="74" t="s">
        <v>1008</v>
      </c>
      <c r="D1237" s="74" t="s">
        <v>533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</row>
    <row r="1238" spans="1:24" ht="13.2" x14ac:dyDescent="0.25">
      <c r="A1238" s="9" t="s">
        <v>107</v>
      </c>
      <c r="B1238" s="9" t="s">
        <v>68</v>
      </c>
      <c r="C1238" s="74" t="s">
        <v>1009</v>
      </c>
      <c r="D1238" s="74" t="s">
        <v>533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</row>
    <row r="1239" spans="1:24" ht="13.2" x14ac:dyDescent="0.25">
      <c r="A1239" s="9" t="s">
        <v>107</v>
      </c>
      <c r="B1239" s="9" t="s">
        <v>341</v>
      </c>
      <c r="C1239" s="74" t="s">
        <v>315</v>
      </c>
      <c r="D1239" s="74" t="s">
        <v>535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</row>
    <row r="1240" spans="1:24" ht="13.2" x14ac:dyDescent="0.25">
      <c r="A1240" s="9" t="s">
        <v>107</v>
      </c>
      <c r="B1240" s="9" t="s">
        <v>72</v>
      </c>
      <c r="C1240" s="74" t="s">
        <v>315</v>
      </c>
      <c r="D1240" s="74" t="s">
        <v>535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</row>
    <row r="1241" spans="1:24" ht="13.2" x14ac:dyDescent="0.25">
      <c r="A1241" s="9" t="s">
        <v>107</v>
      </c>
      <c r="B1241" s="9" t="s">
        <v>342</v>
      </c>
      <c r="C1241" s="74" t="s">
        <v>1010</v>
      </c>
      <c r="D1241" s="74" t="s">
        <v>533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</row>
    <row r="1242" spans="1:24" ht="13.2" x14ac:dyDescent="0.25">
      <c r="A1242" s="9" t="s">
        <v>107</v>
      </c>
      <c r="B1242" s="9" t="s">
        <v>343</v>
      </c>
      <c r="C1242" s="74" t="s">
        <v>315</v>
      </c>
      <c r="D1242" s="74" t="s">
        <v>535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</row>
    <row r="1243" spans="1:24" ht="13.2" x14ac:dyDescent="0.25">
      <c r="A1243" s="9" t="s">
        <v>107</v>
      </c>
      <c r="B1243" s="9" t="s">
        <v>344</v>
      </c>
      <c r="C1243" s="74" t="s">
        <v>315</v>
      </c>
      <c r="D1243" s="74" t="s">
        <v>535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</row>
    <row r="1244" spans="1:24" ht="13.2" x14ac:dyDescent="0.25">
      <c r="A1244" s="9" t="s">
        <v>107</v>
      </c>
      <c r="B1244" s="9" t="s">
        <v>345</v>
      </c>
      <c r="C1244" s="74" t="s">
        <v>1011</v>
      </c>
      <c r="D1244" s="74" t="s">
        <v>533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</row>
    <row r="1245" spans="1:24" ht="13.2" x14ac:dyDescent="0.25">
      <c r="A1245" s="9" t="s">
        <v>107</v>
      </c>
      <c r="B1245" s="9" t="s">
        <v>346</v>
      </c>
      <c r="C1245" s="74" t="s">
        <v>315</v>
      </c>
      <c r="D1245" s="74" t="s">
        <v>535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</row>
    <row r="1246" spans="1:24" ht="13.2" x14ac:dyDescent="0.25">
      <c r="A1246" s="9" t="s">
        <v>107</v>
      </c>
      <c r="B1246" s="9" t="s">
        <v>347</v>
      </c>
      <c r="C1246" s="74" t="s">
        <v>1012</v>
      </c>
      <c r="D1246" s="74" t="s">
        <v>533</v>
      </c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</row>
    <row r="1247" spans="1:24" ht="13.2" x14ac:dyDescent="0.25">
      <c r="A1247" s="9" t="s">
        <v>107</v>
      </c>
      <c r="B1247" s="9" t="s">
        <v>348</v>
      </c>
      <c r="C1247" s="74" t="s">
        <v>315</v>
      </c>
      <c r="D1247" s="74" t="s">
        <v>535</v>
      </c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</row>
    <row r="1248" spans="1:24" ht="13.2" x14ac:dyDescent="0.25">
      <c r="A1248" s="9" t="s">
        <v>107</v>
      </c>
      <c r="B1248" s="9" t="s">
        <v>349</v>
      </c>
      <c r="C1248" s="74" t="s">
        <v>987</v>
      </c>
      <c r="D1248" s="74" t="s">
        <v>533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</row>
    <row r="1249" spans="1:24" ht="13.2" x14ac:dyDescent="0.25">
      <c r="A1249" s="9" t="s">
        <v>107</v>
      </c>
      <c r="B1249" s="9" t="s">
        <v>150</v>
      </c>
      <c r="C1249" s="91">
        <v>0.26</v>
      </c>
      <c r="D1249" s="74" t="s">
        <v>533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</row>
    <row r="1250" spans="1:24" ht="13.2" x14ac:dyDescent="0.25">
      <c r="A1250" s="9" t="s">
        <v>107</v>
      </c>
      <c r="B1250" s="9" t="s">
        <v>351</v>
      </c>
      <c r="C1250" s="74" t="s">
        <v>1013</v>
      </c>
      <c r="D1250" s="74" t="s">
        <v>537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</row>
    <row r="1251" spans="1:24" ht="13.2" x14ac:dyDescent="0.25">
      <c r="A1251" s="9" t="s">
        <v>107</v>
      </c>
      <c r="B1251" s="9" t="s">
        <v>152</v>
      </c>
      <c r="C1251" s="74" t="s">
        <v>1014</v>
      </c>
      <c r="D1251" s="74" t="s">
        <v>537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</row>
    <row r="1252" spans="1:24" ht="13.2" x14ac:dyDescent="0.25">
      <c r="A1252" s="9" t="s">
        <v>107</v>
      </c>
      <c r="B1252" s="9" t="s">
        <v>78</v>
      </c>
      <c r="C1252" s="74">
        <v>2024</v>
      </c>
      <c r="D1252" s="74" t="s">
        <v>533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</row>
    <row r="1253" spans="1:24" ht="13.2" x14ac:dyDescent="0.25">
      <c r="A1253" s="9" t="s">
        <v>107</v>
      </c>
      <c r="B1253" s="9" t="s">
        <v>80</v>
      </c>
      <c r="C1253" s="74">
        <v>2030</v>
      </c>
      <c r="D1253" s="74" t="s">
        <v>533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</row>
    <row r="1254" spans="1:24" ht="13.2" x14ac:dyDescent="0.25">
      <c r="A1254" s="9" t="s">
        <v>107</v>
      </c>
      <c r="B1254" s="9" t="s">
        <v>82</v>
      </c>
      <c r="C1254" s="74">
        <v>2030</v>
      </c>
      <c r="D1254" s="74" t="s">
        <v>533</v>
      </c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</row>
    <row r="1255" spans="1:24" ht="13.2" x14ac:dyDescent="0.25">
      <c r="A1255" s="9" t="s">
        <v>108</v>
      </c>
      <c r="B1255" s="9" t="s">
        <v>2</v>
      </c>
      <c r="C1255" s="90">
        <v>0.31659999999999999</v>
      </c>
      <c r="D1255" s="74" t="s">
        <v>533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</row>
    <row r="1256" spans="1:24" ht="13.2" x14ac:dyDescent="0.25">
      <c r="A1256" s="9" t="s">
        <v>108</v>
      </c>
      <c r="B1256" s="9" t="s">
        <v>4</v>
      </c>
      <c r="C1256" s="90">
        <v>0.38669999999999999</v>
      </c>
      <c r="D1256" s="74" t="s">
        <v>533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</row>
    <row r="1257" spans="1:24" ht="13.2" x14ac:dyDescent="0.25">
      <c r="A1257" s="9" t="s">
        <v>108</v>
      </c>
      <c r="B1257" s="9" t="s">
        <v>6</v>
      </c>
      <c r="C1257" s="90">
        <v>1.01E-2</v>
      </c>
      <c r="D1257" s="74" t="s">
        <v>533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</row>
    <row r="1258" spans="1:24" ht="13.2" x14ac:dyDescent="0.25">
      <c r="A1258" s="9" t="s">
        <v>108</v>
      </c>
      <c r="B1258" s="9" t="s">
        <v>8</v>
      </c>
      <c r="C1258" s="90">
        <v>0.81299999999999994</v>
      </c>
      <c r="D1258" s="74" t="s">
        <v>533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</row>
    <row r="1259" spans="1:24" ht="13.2" x14ac:dyDescent="0.25">
      <c r="A1259" s="9" t="s">
        <v>108</v>
      </c>
      <c r="B1259" s="9" t="s">
        <v>10</v>
      </c>
      <c r="C1259" s="91">
        <v>0.9</v>
      </c>
      <c r="D1259" s="74" t="s">
        <v>533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</row>
    <row r="1260" spans="1:24" ht="13.2" x14ac:dyDescent="0.25">
      <c r="A1260" s="9" t="s">
        <v>108</v>
      </c>
      <c r="B1260" s="9" t="s">
        <v>12</v>
      </c>
      <c r="C1260" s="91">
        <v>0.5</v>
      </c>
      <c r="D1260" s="74" t="s">
        <v>533</v>
      </c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</row>
    <row r="1261" spans="1:24" ht="13.2" x14ac:dyDescent="0.25">
      <c r="A1261" s="9" t="s">
        <v>108</v>
      </c>
      <c r="B1261" s="9" t="s">
        <v>14</v>
      </c>
      <c r="C1261" s="74" t="s">
        <v>895</v>
      </c>
      <c r="D1261" s="74" t="s">
        <v>535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</row>
    <row r="1262" spans="1:24" ht="13.2" x14ac:dyDescent="0.25">
      <c r="A1262" s="9" t="s">
        <v>108</v>
      </c>
      <c r="B1262" s="9" t="s">
        <v>16</v>
      </c>
      <c r="C1262" s="74" t="s">
        <v>1015</v>
      </c>
      <c r="D1262" s="74" t="s">
        <v>533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</row>
    <row r="1263" spans="1:24" ht="13.2" x14ac:dyDescent="0.25">
      <c r="A1263" s="9" t="s">
        <v>108</v>
      </c>
      <c r="B1263" s="9" t="s">
        <v>18</v>
      </c>
      <c r="C1263" s="74" t="s">
        <v>1016</v>
      </c>
      <c r="D1263" s="74" t="s">
        <v>533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</row>
    <row r="1264" spans="1:24" ht="13.2" x14ac:dyDescent="0.25">
      <c r="A1264" s="9" t="s">
        <v>108</v>
      </c>
      <c r="B1264" s="9" t="s">
        <v>20</v>
      </c>
      <c r="C1264" s="74" t="s">
        <v>1017</v>
      </c>
      <c r="D1264" s="74" t="s">
        <v>533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</row>
    <row r="1265" spans="1:24" ht="13.2" x14ac:dyDescent="0.25">
      <c r="A1265" s="9" t="s">
        <v>108</v>
      </c>
      <c r="B1265" s="9" t="s">
        <v>22</v>
      </c>
      <c r="C1265" s="74" t="s">
        <v>1018</v>
      </c>
      <c r="D1265" s="74" t="s">
        <v>533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</row>
    <row r="1266" spans="1:24" ht="13.2" x14ac:dyDescent="0.25">
      <c r="A1266" s="9" t="s">
        <v>108</v>
      </c>
      <c r="B1266" s="9" t="s">
        <v>24</v>
      </c>
      <c r="C1266" s="74" t="s">
        <v>1019</v>
      </c>
      <c r="D1266" s="74" t="s">
        <v>533</v>
      </c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</row>
    <row r="1267" spans="1:24" ht="13.2" x14ac:dyDescent="0.25">
      <c r="A1267" s="9" t="s">
        <v>108</v>
      </c>
      <c r="B1267" s="9" t="s">
        <v>26</v>
      </c>
      <c r="C1267" s="74" t="s">
        <v>1020</v>
      </c>
      <c r="D1267" s="74" t="s">
        <v>537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</row>
    <row r="1268" spans="1:24" ht="13.2" x14ac:dyDescent="0.25">
      <c r="A1268" s="9" t="s">
        <v>108</v>
      </c>
      <c r="B1268" s="9" t="s">
        <v>28</v>
      </c>
      <c r="C1268" s="74" t="s">
        <v>315</v>
      </c>
      <c r="D1268" s="74" t="s">
        <v>535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</row>
    <row r="1269" spans="1:24" ht="13.2" x14ac:dyDescent="0.25">
      <c r="A1269" s="9" t="s">
        <v>108</v>
      </c>
      <c r="B1269" s="9" t="s">
        <v>30</v>
      </c>
      <c r="C1269" s="74" t="s">
        <v>1021</v>
      </c>
      <c r="D1269" s="74" t="s">
        <v>537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</row>
    <row r="1270" spans="1:24" ht="13.2" x14ac:dyDescent="0.25">
      <c r="A1270" s="9" t="s">
        <v>108</v>
      </c>
      <c r="B1270" s="9" t="s">
        <v>32</v>
      </c>
      <c r="C1270" s="74" t="s">
        <v>1022</v>
      </c>
      <c r="D1270" s="74" t="s">
        <v>533</v>
      </c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</row>
    <row r="1271" spans="1:24" ht="13.2" x14ac:dyDescent="0.25">
      <c r="A1271" s="9" t="s">
        <v>108</v>
      </c>
      <c r="B1271" s="9" t="s">
        <v>34</v>
      </c>
      <c r="C1271" s="74" t="s">
        <v>315</v>
      </c>
      <c r="D1271" s="74" t="s">
        <v>535</v>
      </c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</row>
    <row r="1272" spans="1:24" ht="13.2" x14ac:dyDescent="0.25">
      <c r="A1272" s="9" t="s">
        <v>108</v>
      </c>
      <c r="B1272" s="9" t="s">
        <v>36</v>
      </c>
      <c r="C1272" s="74" t="s">
        <v>315</v>
      </c>
      <c r="D1272" s="74" t="s">
        <v>535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</row>
    <row r="1273" spans="1:24" ht="13.2" x14ac:dyDescent="0.25">
      <c r="A1273" s="9" t="s">
        <v>108</v>
      </c>
      <c r="B1273" s="9" t="s">
        <v>38</v>
      </c>
      <c r="C1273" s="74" t="s">
        <v>315</v>
      </c>
      <c r="D1273" s="74" t="s">
        <v>535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</row>
    <row r="1274" spans="1:24" ht="13.2" x14ac:dyDescent="0.25">
      <c r="A1274" s="9" t="s">
        <v>108</v>
      </c>
      <c r="B1274" s="9" t="s">
        <v>40</v>
      </c>
      <c r="C1274" s="74" t="s">
        <v>1023</v>
      </c>
      <c r="D1274" s="74" t="s">
        <v>533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</row>
    <row r="1275" spans="1:24" ht="13.2" x14ac:dyDescent="0.25">
      <c r="A1275" s="9" t="s">
        <v>108</v>
      </c>
      <c r="B1275" s="9" t="s">
        <v>42</v>
      </c>
      <c r="C1275" s="74" t="s">
        <v>1024</v>
      </c>
      <c r="D1275" s="74" t="s">
        <v>537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</row>
    <row r="1276" spans="1:24" ht="13.2" x14ac:dyDescent="0.25">
      <c r="A1276" s="9" t="s">
        <v>108</v>
      </c>
      <c r="B1276" s="9" t="s">
        <v>44</v>
      </c>
      <c r="C1276" s="74" t="s">
        <v>315</v>
      </c>
      <c r="D1276" s="74" t="s">
        <v>535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</row>
    <row r="1277" spans="1:24" ht="13.2" x14ac:dyDescent="0.25">
      <c r="A1277" s="9" t="s">
        <v>108</v>
      </c>
      <c r="B1277" s="9" t="s">
        <v>46</v>
      </c>
      <c r="C1277" s="74" t="s">
        <v>1025</v>
      </c>
      <c r="D1277" s="74" t="s">
        <v>533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</row>
    <row r="1278" spans="1:24" ht="13.2" x14ac:dyDescent="0.25">
      <c r="A1278" s="9" t="s">
        <v>108</v>
      </c>
      <c r="B1278" s="9" t="s">
        <v>48</v>
      </c>
      <c r="C1278" s="74" t="s">
        <v>1026</v>
      </c>
      <c r="D1278" s="74" t="s">
        <v>537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</row>
    <row r="1279" spans="1:24" ht="13.2" x14ac:dyDescent="0.25">
      <c r="A1279" s="9" t="s">
        <v>108</v>
      </c>
      <c r="B1279" s="9" t="s">
        <v>124</v>
      </c>
      <c r="C1279" s="74" t="s">
        <v>1027</v>
      </c>
      <c r="D1279" s="74" t="s">
        <v>533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</row>
    <row r="1280" spans="1:24" ht="13.2" x14ac:dyDescent="0.25">
      <c r="A1280" s="9" t="s">
        <v>108</v>
      </c>
      <c r="B1280" s="9" t="s">
        <v>126</v>
      </c>
      <c r="C1280" s="74" t="s">
        <v>1028</v>
      </c>
      <c r="D1280" s="74" t="s">
        <v>537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</row>
    <row r="1281" spans="1:24" ht="13.2" x14ac:dyDescent="0.25">
      <c r="A1281" s="9" t="s">
        <v>108</v>
      </c>
      <c r="B1281" s="9" t="s">
        <v>130</v>
      </c>
      <c r="C1281" s="74" t="s">
        <v>315</v>
      </c>
      <c r="D1281" s="74" t="s">
        <v>535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</row>
    <row r="1282" spans="1:24" ht="13.2" x14ac:dyDescent="0.25">
      <c r="A1282" s="9" t="s">
        <v>108</v>
      </c>
      <c r="B1282" s="9" t="s">
        <v>131</v>
      </c>
      <c r="C1282" s="74" t="s">
        <v>315</v>
      </c>
      <c r="D1282" s="74" t="s">
        <v>535</v>
      </c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</row>
    <row r="1283" spans="1:24" ht="13.2" x14ac:dyDescent="0.25">
      <c r="A1283" s="9" t="s">
        <v>108</v>
      </c>
      <c r="B1283" s="9" t="s">
        <v>132</v>
      </c>
      <c r="C1283" s="74" t="s">
        <v>315</v>
      </c>
      <c r="D1283" s="74" t="s">
        <v>535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</row>
    <row r="1284" spans="1:24" ht="13.2" x14ac:dyDescent="0.25">
      <c r="A1284" s="9" t="s">
        <v>108</v>
      </c>
      <c r="B1284" s="9" t="s">
        <v>50</v>
      </c>
      <c r="C1284" s="74" t="s">
        <v>1029</v>
      </c>
      <c r="D1284" s="74" t="s">
        <v>533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</row>
    <row r="1285" spans="1:24" ht="13.2" x14ac:dyDescent="0.25">
      <c r="A1285" s="9" t="s">
        <v>108</v>
      </c>
      <c r="B1285" s="9" t="s">
        <v>52</v>
      </c>
      <c r="C1285" s="74" t="s">
        <v>1030</v>
      </c>
      <c r="D1285" s="74" t="s">
        <v>533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</row>
    <row r="1286" spans="1:24" ht="13.2" x14ac:dyDescent="0.25">
      <c r="A1286" s="9" t="s">
        <v>108</v>
      </c>
      <c r="B1286" s="9" t="s">
        <v>54</v>
      </c>
      <c r="C1286" s="74" t="s">
        <v>1031</v>
      </c>
      <c r="D1286" s="74" t="s">
        <v>533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</row>
    <row r="1287" spans="1:24" ht="13.2" x14ac:dyDescent="0.25">
      <c r="A1287" s="9" t="s">
        <v>108</v>
      </c>
      <c r="B1287" s="9" t="s">
        <v>134</v>
      </c>
      <c r="C1287" s="74" t="s">
        <v>1032</v>
      </c>
      <c r="D1287" s="74" t="s">
        <v>537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</row>
    <row r="1288" spans="1:24" ht="13.2" x14ac:dyDescent="0.25">
      <c r="A1288" s="9" t="s">
        <v>108</v>
      </c>
      <c r="B1288" s="9" t="s">
        <v>135</v>
      </c>
      <c r="C1288" s="74" t="s">
        <v>1032</v>
      </c>
      <c r="D1288" s="74" t="s">
        <v>537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</row>
    <row r="1289" spans="1:24" ht="13.2" x14ac:dyDescent="0.25">
      <c r="A1289" s="9" t="s">
        <v>108</v>
      </c>
      <c r="B1289" s="9" t="s">
        <v>136</v>
      </c>
      <c r="C1289" s="74" t="s">
        <v>1032</v>
      </c>
      <c r="D1289" s="74" t="s">
        <v>537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</row>
    <row r="1290" spans="1:24" ht="13.2" x14ac:dyDescent="0.25">
      <c r="A1290" s="9" t="s">
        <v>108</v>
      </c>
      <c r="B1290" s="9" t="s">
        <v>56</v>
      </c>
      <c r="C1290" s="74" t="s">
        <v>1033</v>
      </c>
      <c r="D1290" s="74" t="s">
        <v>533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</row>
    <row r="1291" spans="1:24" ht="13.2" x14ac:dyDescent="0.25">
      <c r="A1291" s="9" t="s">
        <v>108</v>
      </c>
      <c r="B1291" s="9" t="s">
        <v>337</v>
      </c>
      <c r="C1291" s="74" t="s">
        <v>1034</v>
      </c>
      <c r="D1291" s="74" t="s">
        <v>533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</row>
    <row r="1292" spans="1:24" ht="13.2" x14ac:dyDescent="0.25">
      <c r="A1292" s="9" t="s">
        <v>108</v>
      </c>
      <c r="B1292" s="9" t="s">
        <v>470</v>
      </c>
      <c r="C1292" s="91">
        <v>0.73</v>
      </c>
      <c r="D1292" s="74" t="s">
        <v>533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</row>
    <row r="1293" spans="1:24" ht="13.2" x14ac:dyDescent="0.25">
      <c r="A1293" s="9" t="s">
        <v>108</v>
      </c>
      <c r="B1293" s="9" t="s">
        <v>472</v>
      </c>
      <c r="C1293" s="74" t="s">
        <v>1035</v>
      </c>
      <c r="D1293" s="74" t="s">
        <v>533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</row>
    <row r="1294" spans="1:24" ht="13.2" x14ac:dyDescent="0.25">
      <c r="A1294" s="9" t="s">
        <v>108</v>
      </c>
      <c r="B1294" s="9" t="s">
        <v>66</v>
      </c>
      <c r="C1294" s="91">
        <v>0.28999999999999998</v>
      </c>
      <c r="D1294" s="74" t="s">
        <v>533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</row>
    <row r="1295" spans="1:24" ht="13.2" x14ac:dyDescent="0.25">
      <c r="A1295" s="9" t="s">
        <v>108</v>
      </c>
      <c r="B1295" s="9" t="s">
        <v>68</v>
      </c>
      <c r="C1295" s="90">
        <v>0.72799999999999998</v>
      </c>
      <c r="D1295" s="74" t="s">
        <v>533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</row>
    <row r="1296" spans="1:24" ht="13.2" x14ac:dyDescent="0.25">
      <c r="A1296" s="9" t="s">
        <v>108</v>
      </c>
      <c r="B1296" s="9" t="s">
        <v>341</v>
      </c>
      <c r="C1296" s="74" t="s">
        <v>315</v>
      </c>
      <c r="D1296" s="74" t="s">
        <v>535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</row>
    <row r="1297" spans="1:24" ht="13.2" x14ac:dyDescent="0.25">
      <c r="A1297" s="9" t="s">
        <v>108</v>
      </c>
      <c r="B1297" s="9" t="s">
        <v>72</v>
      </c>
      <c r="C1297" s="74" t="s">
        <v>315</v>
      </c>
      <c r="D1297" s="74" t="s">
        <v>535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</row>
    <row r="1298" spans="1:24" ht="13.2" x14ac:dyDescent="0.25">
      <c r="A1298" s="9" t="s">
        <v>108</v>
      </c>
      <c r="B1298" s="9" t="s">
        <v>342</v>
      </c>
      <c r="C1298" s="74" t="s">
        <v>1036</v>
      </c>
      <c r="D1298" s="74" t="s">
        <v>533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</row>
    <row r="1299" spans="1:24" ht="13.2" x14ac:dyDescent="0.25">
      <c r="A1299" s="9" t="s">
        <v>108</v>
      </c>
      <c r="B1299" s="9" t="s">
        <v>343</v>
      </c>
      <c r="C1299" s="90">
        <v>0.54500000000000004</v>
      </c>
      <c r="D1299" s="74" t="s">
        <v>533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</row>
    <row r="1300" spans="1:24" ht="13.2" x14ac:dyDescent="0.25">
      <c r="A1300" s="9" t="s">
        <v>108</v>
      </c>
      <c r="B1300" s="9" t="s">
        <v>344</v>
      </c>
      <c r="C1300" s="90">
        <v>4.7E-2</v>
      </c>
      <c r="D1300" s="74" t="s">
        <v>533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</row>
    <row r="1301" spans="1:24" ht="13.2" x14ac:dyDescent="0.25">
      <c r="A1301" s="9" t="s">
        <v>108</v>
      </c>
      <c r="B1301" s="9" t="s">
        <v>345</v>
      </c>
      <c r="C1301" s="74" t="s">
        <v>315</v>
      </c>
      <c r="D1301" s="74" t="s">
        <v>535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</row>
    <row r="1302" spans="1:24" ht="13.2" x14ac:dyDescent="0.25">
      <c r="A1302" s="9" t="s">
        <v>108</v>
      </c>
      <c r="B1302" s="9" t="s">
        <v>346</v>
      </c>
      <c r="C1302" s="74" t="s">
        <v>315</v>
      </c>
      <c r="D1302" s="74" t="s">
        <v>535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</row>
    <row r="1303" spans="1:24" ht="13.2" x14ac:dyDescent="0.25">
      <c r="A1303" s="9" t="s">
        <v>108</v>
      </c>
      <c r="B1303" s="9" t="s">
        <v>347</v>
      </c>
      <c r="C1303" s="74" t="s">
        <v>1037</v>
      </c>
      <c r="D1303" s="74" t="s">
        <v>537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</row>
    <row r="1304" spans="1:24" ht="13.2" x14ac:dyDescent="0.25">
      <c r="A1304" s="9" t="s">
        <v>108</v>
      </c>
      <c r="B1304" s="9" t="s">
        <v>348</v>
      </c>
      <c r="C1304" s="74" t="s">
        <v>315</v>
      </c>
      <c r="D1304" s="74" t="s">
        <v>535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</row>
    <row r="1305" spans="1:24" ht="13.2" x14ac:dyDescent="0.25">
      <c r="A1305" s="9" t="s">
        <v>108</v>
      </c>
      <c r="B1305" s="9" t="s">
        <v>349</v>
      </c>
      <c r="C1305" s="90">
        <v>0.81299999999999994</v>
      </c>
      <c r="D1305" s="74" t="s">
        <v>533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</row>
    <row r="1306" spans="1:24" ht="13.2" x14ac:dyDescent="0.25">
      <c r="A1306" s="9" t="s">
        <v>108</v>
      </c>
      <c r="B1306" s="9" t="s">
        <v>150</v>
      </c>
      <c r="C1306" s="90">
        <v>0.39600000000000002</v>
      </c>
      <c r="D1306" s="74" t="s">
        <v>533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</row>
    <row r="1307" spans="1:24" ht="13.2" x14ac:dyDescent="0.25">
      <c r="A1307" s="9" t="s">
        <v>108</v>
      </c>
      <c r="B1307" s="9" t="s">
        <v>351</v>
      </c>
      <c r="C1307" s="74" t="s">
        <v>315</v>
      </c>
      <c r="D1307" s="74" t="s">
        <v>535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</row>
    <row r="1308" spans="1:24" ht="13.2" x14ac:dyDescent="0.25">
      <c r="A1308" s="9" t="s">
        <v>108</v>
      </c>
      <c r="B1308" s="9" t="s">
        <v>152</v>
      </c>
      <c r="C1308" s="74" t="s">
        <v>1038</v>
      </c>
      <c r="D1308" s="74" t="s">
        <v>537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</row>
    <row r="1309" spans="1:24" ht="13.2" x14ac:dyDescent="0.25">
      <c r="A1309" s="9" t="s">
        <v>108</v>
      </c>
      <c r="B1309" s="9" t="s">
        <v>78</v>
      </c>
      <c r="C1309" s="74">
        <v>2025</v>
      </c>
      <c r="D1309" s="74" t="s">
        <v>533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</row>
    <row r="1310" spans="1:24" ht="13.2" x14ac:dyDescent="0.25">
      <c r="A1310" s="9" t="s">
        <v>108</v>
      </c>
      <c r="B1310" s="9" t="s">
        <v>80</v>
      </c>
      <c r="C1310" s="74">
        <v>2030</v>
      </c>
      <c r="D1310" s="74" t="s">
        <v>533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</row>
    <row r="1311" spans="1:24" ht="13.2" x14ac:dyDescent="0.25">
      <c r="A1311" s="9" t="s">
        <v>108</v>
      </c>
      <c r="B1311" s="9" t="s">
        <v>82</v>
      </c>
      <c r="C1311" s="74">
        <v>2030</v>
      </c>
      <c r="D1311" s="74" t="s">
        <v>1039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</row>
    <row r="1312" spans="1:24" ht="13.2" x14ac:dyDescent="0.25">
      <c r="A1312" s="9" t="s">
        <v>1040</v>
      </c>
      <c r="B1312" s="9" t="s">
        <v>2</v>
      </c>
      <c r="C1312" s="74" t="s">
        <v>1041</v>
      </c>
      <c r="D1312" s="74" t="s">
        <v>533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</row>
    <row r="1313" spans="1:24" ht="13.2" x14ac:dyDescent="0.25">
      <c r="A1313" s="9" t="s">
        <v>1040</v>
      </c>
      <c r="B1313" s="9" t="s">
        <v>4</v>
      </c>
      <c r="C1313" s="74" t="s">
        <v>315</v>
      </c>
      <c r="D1313" s="74" t="s">
        <v>535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</row>
    <row r="1314" spans="1:24" ht="13.2" x14ac:dyDescent="0.25">
      <c r="A1314" s="9" t="s">
        <v>1040</v>
      </c>
      <c r="B1314" s="9" t="s">
        <v>6</v>
      </c>
      <c r="C1314" s="74" t="s">
        <v>315</v>
      </c>
      <c r="D1314" s="74" t="s">
        <v>535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</row>
    <row r="1315" spans="1:24" ht="13.2" x14ac:dyDescent="0.25">
      <c r="A1315" s="9" t="s">
        <v>1040</v>
      </c>
      <c r="B1315" s="9" t="s">
        <v>8</v>
      </c>
      <c r="C1315" s="91">
        <v>1</v>
      </c>
      <c r="D1315" s="74" t="s">
        <v>533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</row>
    <row r="1316" spans="1:24" ht="13.2" x14ac:dyDescent="0.25">
      <c r="A1316" s="9" t="s">
        <v>1040</v>
      </c>
      <c r="B1316" s="9" t="s">
        <v>10</v>
      </c>
      <c r="C1316" s="74" t="s">
        <v>315</v>
      </c>
      <c r="D1316" s="74" t="s">
        <v>535</v>
      </c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</row>
    <row r="1317" spans="1:24" ht="13.2" x14ac:dyDescent="0.25">
      <c r="A1317" s="9" t="s">
        <v>1040</v>
      </c>
      <c r="B1317" s="9" t="s">
        <v>12</v>
      </c>
      <c r="C1317" s="74" t="s">
        <v>315</v>
      </c>
      <c r="D1317" s="74" t="s">
        <v>535</v>
      </c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</row>
    <row r="1318" spans="1:24" ht="13.2" x14ac:dyDescent="0.25">
      <c r="A1318" s="9" t="s">
        <v>1040</v>
      </c>
      <c r="B1318" s="9" t="s">
        <v>14</v>
      </c>
      <c r="C1318" s="74" t="s">
        <v>315</v>
      </c>
      <c r="D1318" s="74" t="s">
        <v>535</v>
      </c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</row>
    <row r="1319" spans="1:24" ht="13.2" x14ac:dyDescent="0.25">
      <c r="A1319" s="9" t="s">
        <v>1040</v>
      </c>
      <c r="B1319" s="9" t="s">
        <v>16</v>
      </c>
      <c r="C1319" s="74" t="s">
        <v>1042</v>
      </c>
      <c r="D1319" s="74" t="s">
        <v>533</v>
      </c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</row>
    <row r="1320" spans="1:24" ht="13.2" x14ac:dyDescent="0.25">
      <c r="A1320" s="9" t="s">
        <v>1040</v>
      </c>
      <c r="B1320" s="9" t="s">
        <v>18</v>
      </c>
      <c r="C1320" s="74" t="s">
        <v>1235</v>
      </c>
      <c r="D1320" s="74" t="s">
        <v>537</v>
      </c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</row>
    <row r="1321" spans="1:24" ht="13.2" x14ac:dyDescent="0.25">
      <c r="A1321" s="9" t="s">
        <v>1040</v>
      </c>
      <c r="B1321" s="9" t="s">
        <v>20</v>
      </c>
      <c r="C1321" s="74" t="s">
        <v>749</v>
      </c>
      <c r="D1321" s="74" t="s">
        <v>533</v>
      </c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</row>
    <row r="1322" spans="1:24" ht="13.2" x14ac:dyDescent="0.25">
      <c r="A1322" s="9" t="s">
        <v>1040</v>
      </c>
      <c r="B1322" s="9" t="s">
        <v>22</v>
      </c>
      <c r="C1322" s="74" t="s">
        <v>1043</v>
      </c>
      <c r="D1322" s="74" t="s">
        <v>537</v>
      </c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</row>
    <row r="1323" spans="1:24" ht="13.2" x14ac:dyDescent="0.25">
      <c r="A1323" s="9" t="s">
        <v>1040</v>
      </c>
      <c r="B1323" s="9" t="s">
        <v>24</v>
      </c>
      <c r="C1323" s="74" t="s">
        <v>1044</v>
      </c>
      <c r="D1323" s="74" t="s">
        <v>537</v>
      </c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</row>
    <row r="1324" spans="1:24" ht="13.2" x14ac:dyDescent="0.25">
      <c r="A1324" s="9" t="s">
        <v>1040</v>
      </c>
      <c r="B1324" s="9" t="s">
        <v>26</v>
      </c>
      <c r="C1324" s="74" t="s">
        <v>1045</v>
      </c>
      <c r="D1324" s="74" t="s">
        <v>533</v>
      </c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</row>
    <row r="1325" spans="1:24" ht="13.2" x14ac:dyDescent="0.25">
      <c r="A1325" s="9" t="s">
        <v>1040</v>
      </c>
      <c r="B1325" s="9" t="s">
        <v>28</v>
      </c>
      <c r="C1325" s="74" t="s">
        <v>315</v>
      </c>
      <c r="D1325" s="74" t="s">
        <v>535</v>
      </c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</row>
    <row r="1326" spans="1:24" ht="13.2" x14ac:dyDescent="0.25">
      <c r="A1326" s="9" t="s">
        <v>1040</v>
      </c>
      <c r="B1326" s="9" t="s">
        <v>30</v>
      </c>
      <c r="C1326" s="74" t="s">
        <v>1046</v>
      </c>
      <c r="D1326" s="74" t="s">
        <v>533</v>
      </c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</row>
    <row r="1327" spans="1:24" ht="13.2" x14ac:dyDescent="0.25">
      <c r="A1327" s="9" t="s">
        <v>1040</v>
      </c>
      <c r="B1327" s="9" t="s">
        <v>1047</v>
      </c>
      <c r="C1327" s="74" t="s">
        <v>1048</v>
      </c>
      <c r="D1327" s="74" t="s">
        <v>533</v>
      </c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</row>
    <row r="1328" spans="1:24" ht="13.2" x14ac:dyDescent="0.25">
      <c r="A1328" s="9" t="s">
        <v>1040</v>
      </c>
      <c r="B1328" s="9" t="s">
        <v>34</v>
      </c>
      <c r="C1328" s="74" t="s">
        <v>1049</v>
      </c>
      <c r="D1328" s="74" t="s">
        <v>537</v>
      </c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</row>
    <row r="1329" spans="1:24" ht="13.2" x14ac:dyDescent="0.25">
      <c r="A1329" s="9" t="s">
        <v>1040</v>
      </c>
      <c r="B1329" s="9" t="s">
        <v>36</v>
      </c>
      <c r="C1329" s="74" t="s">
        <v>315</v>
      </c>
      <c r="D1329" s="74" t="s">
        <v>535</v>
      </c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</row>
    <row r="1330" spans="1:24" ht="13.2" x14ac:dyDescent="0.25">
      <c r="A1330" s="9" t="s">
        <v>1040</v>
      </c>
      <c r="B1330" s="9" t="s">
        <v>38</v>
      </c>
      <c r="C1330" s="74" t="s">
        <v>315</v>
      </c>
      <c r="D1330" s="74" t="s">
        <v>535</v>
      </c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</row>
    <row r="1331" spans="1:24" ht="13.2" x14ac:dyDescent="0.25">
      <c r="A1331" s="9" t="s">
        <v>1040</v>
      </c>
      <c r="B1331" s="9" t="s">
        <v>40</v>
      </c>
      <c r="C1331" s="74" t="s">
        <v>1050</v>
      </c>
      <c r="D1331" s="74" t="s">
        <v>533</v>
      </c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</row>
    <row r="1332" spans="1:24" ht="13.2" x14ac:dyDescent="0.25">
      <c r="A1332" s="9" t="s">
        <v>1040</v>
      </c>
      <c r="B1332" s="9" t="s">
        <v>42</v>
      </c>
      <c r="C1332" s="74" t="s">
        <v>315</v>
      </c>
      <c r="D1332" s="74" t="s">
        <v>535</v>
      </c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</row>
    <row r="1333" spans="1:24" ht="13.2" x14ac:dyDescent="0.25">
      <c r="A1333" s="9" t="s">
        <v>1040</v>
      </c>
      <c r="B1333" s="9" t="s">
        <v>44</v>
      </c>
      <c r="C1333" s="74" t="s">
        <v>315</v>
      </c>
      <c r="D1333" s="74" t="s">
        <v>535</v>
      </c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</row>
    <row r="1334" spans="1:24" ht="13.2" x14ac:dyDescent="0.25">
      <c r="A1334" s="9" t="s">
        <v>1040</v>
      </c>
      <c r="B1334" s="9" t="s">
        <v>46</v>
      </c>
      <c r="C1334" s="91">
        <v>0.34</v>
      </c>
      <c r="D1334" s="74" t="s">
        <v>533</v>
      </c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</row>
    <row r="1335" spans="1:24" ht="13.2" x14ac:dyDescent="0.25">
      <c r="A1335" s="9" t="s">
        <v>1040</v>
      </c>
      <c r="B1335" s="9" t="s">
        <v>48</v>
      </c>
      <c r="C1335" s="91">
        <v>0.18</v>
      </c>
      <c r="D1335" s="74" t="s">
        <v>533</v>
      </c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</row>
    <row r="1336" spans="1:24" ht="13.2" x14ac:dyDescent="0.25">
      <c r="A1336" s="9" t="s">
        <v>1040</v>
      </c>
      <c r="B1336" s="9" t="s">
        <v>124</v>
      </c>
      <c r="C1336" s="74" t="s">
        <v>1051</v>
      </c>
      <c r="D1336" s="74" t="s">
        <v>537</v>
      </c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</row>
    <row r="1337" spans="1:24" ht="13.2" x14ac:dyDescent="0.25">
      <c r="A1337" s="9" t="s">
        <v>1040</v>
      </c>
      <c r="B1337" s="9" t="s">
        <v>126</v>
      </c>
      <c r="C1337" s="74" t="s">
        <v>1052</v>
      </c>
      <c r="D1337" s="74" t="s">
        <v>533</v>
      </c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</row>
    <row r="1338" spans="1:24" ht="13.2" x14ac:dyDescent="0.25">
      <c r="A1338" s="9" t="s">
        <v>1040</v>
      </c>
      <c r="B1338" s="9" t="s">
        <v>130</v>
      </c>
      <c r="C1338" s="74" t="s">
        <v>315</v>
      </c>
      <c r="D1338" s="74" t="s">
        <v>535</v>
      </c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</row>
    <row r="1339" spans="1:24" ht="13.2" x14ac:dyDescent="0.25">
      <c r="A1339" s="9" t="s">
        <v>1040</v>
      </c>
      <c r="B1339" s="9" t="s">
        <v>131</v>
      </c>
      <c r="C1339" s="74" t="s">
        <v>315</v>
      </c>
      <c r="D1339" s="74" t="s">
        <v>535</v>
      </c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</row>
    <row r="1340" spans="1:24" ht="13.2" x14ac:dyDescent="0.25">
      <c r="A1340" s="9" t="s">
        <v>1040</v>
      </c>
      <c r="B1340" s="9" t="s">
        <v>132</v>
      </c>
      <c r="C1340" s="74" t="s">
        <v>1053</v>
      </c>
      <c r="D1340" s="74" t="s">
        <v>533</v>
      </c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</row>
    <row r="1341" spans="1:24" ht="13.2" x14ac:dyDescent="0.25">
      <c r="A1341" s="9" t="s">
        <v>1040</v>
      </c>
      <c r="B1341" s="9" t="s">
        <v>50</v>
      </c>
      <c r="C1341" s="74" t="s">
        <v>1054</v>
      </c>
      <c r="D1341" s="74" t="s">
        <v>533</v>
      </c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</row>
    <row r="1342" spans="1:24" ht="13.2" x14ac:dyDescent="0.25">
      <c r="A1342" s="9" t="s">
        <v>1040</v>
      </c>
      <c r="B1342" s="9" t="s">
        <v>52</v>
      </c>
      <c r="C1342" s="74" t="s">
        <v>1055</v>
      </c>
      <c r="D1342" s="74" t="s">
        <v>533</v>
      </c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</row>
    <row r="1343" spans="1:24" ht="13.2" x14ac:dyDescent="0.25">
      <c r="A1343" s="9" t="s">
        <v>1040</v>
      </c>
      <c r="B1343" s="9" t="s">
        <v>54</v>
      </c>
      <c r="C1343" s="74" t="s">
        <v>1056</v>
      </c>
      <c r="D1343" s="74" t="s">
        <v>533</v>
      </c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</row>
    <row r="1344" spans="1:24" ht="13.2" x14ac:dyDescent="0.25">
      <c r="A1344" s="9" t="s">
        <v>1040</v>
      </c>
      <c r="B1344" s="9" t="s">
        <v>134</v>
      </c>
      <c r="C1344" s="74" t="s">
        <v>1057</v>
      </c>
      <c r="D1344" s="74" t="s">
        <v>537</v>
      </c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</row>
    <row r="1345" spans="1:24" ht="13.2" x14ac:dyDescent="0.25">
      <c r="A1345" s="9" t="s">
        <v>1040</v>
      </c>
      <c r="B1345" s="9" t="s">
        <v>135</v>
      </c>
      <c r="C1345" s="74" t="s">
        <v>1058</v>
      </c>
      <c r="D1345" s="74" t="s">
        <v>537</v>
      </c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</row>
    <row r="1346" spans="1:24" ht="13.2" x14ac:dyDescent="0.25">
      <c r="A1346" s="9" t="s">
        <v>1040</v>
      </c>
      <c r="B1346" s="9" t="s">
        <v>136</v>
      </c>
      <c r="C1346" s="74" t="s">
        <v>1059</v>
      </c>
      <c r="D1346" s="74" t="s">
        <v>537</v>
      </c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</row>
    <row r="1347" spans="1:24" ht="13.2" x14ac:dyDescent="0.25">
      <c r="A1347" s="9" t="s">
        <v>1040</v>
      </c>
      <c r="B1347" s="9" t="s">
        <v>56</v>
      </c>
      <c r="C1347" s="74" t="s">
        <v>315</v>
      </c>
      <c r="D1347" s="74" t="s">
        <v>535</v>
      </c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</row>
    <row r="1348" spans="1:24" ht="13.2" x14ac:dyDescent="0.25">
      <c r="A1348" s="9" t="s">
        <v>1040</v>
      </c>
      <c r="B1348" s="9" t="s">
        <v>337</v>
      </c>
      <c r="C1348" s="74" t="s">
        <v>1060</v>
      </c>
      <c r="D1348" s="74" t="s">
        <v>537</v>
      </c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</row>
    <row r="1349" spans="1:24" ht="13.2" x14ac:dyDescent="0.25">
      <c r="A1349" s="9" t="s">
        <v>1040</v>
      </c>
      <c r="B1349" s="9" t="s">
        <v>470</v>
      </c>
      <c r="C1349" s="74" t="s">
        <v>1061</v>
      </c>
      <c r="D1349" s="74" t="s">
        <v>537</v>
      </c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</row>
    <row r="1350" spans="1:24" ht="13.2" x14ac:dyDescent="0.25">
      <c r="A1350" s="9" t="s">
        <v>1040</v>
      </c>
      <c r="B1350" s="9" t="s">
        <v>472</v>
      </c>
      <c r="C1350" s="74" t="s">
        <v>356</v>
      </c>
      <c r="D1350" s="74" t="s">
        <v>535</v>
      </c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</row>
    <row r="1351" spans="1:24" ht="13.2" x14ac:dyDescent="0.25">
      <c r="A1351" s="9" t="s">
        <v>1040</v>
      </c>
      <c r="B1351" s="9" t="s">
        <v>66</v>
      </c>
      <c r="C1351" s="91">
        <v>0.05</v>
      </c>
      <c r="D1351" s="74" t="s">
        <v>533</v>
      </c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</row>
    <row r="1352" spans="1:24" ht="13.2" x14ac:dyDescent="0.25">
      <c r="A1352" s="9" t="s">
        <v>1040</v>
      </c>
      <c r="B1352" s="9" t="s">
        <v>68</v>
      </c>
      <c r="C1352" s="91">
        <v>0.5</v>
      </c>
      <c r="D1352" s="74" t="s">
        <v>533</v>
      </c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</row>
    <row r="1353" spans="1:24" ht="13.2" x14ac:dyDescent="0.25">
      <c r="A1353" s="9" t="s">
        <v>1040</v>
      </c>
      <c r="B1353" s="9" t="s">
        <v>341</v>
      </c>
      <c r="C1353" s="74" t="s">
        <v>315</v>
      </c>
      <c r="D1353" s="74" t="s">
        <v>535</v>
      </c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</row>
    <row r="1354" spans="1:24" ht="13.2" x14ac:dyDescent="0.25">
      <c r="A1354" s="9" t="s">
        <v>1040</v>
      </c>
      <c r="B1354" s="9" t="s">
        <v>72</v>
      </c>
      <c r="C1354" s="74" t="s">
        <v>315</v>
      </c>
      <c r="D1354" s="74" t="s">
        <v>535</v>
      </c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</row>
    <row r="1355" spans="1:24" ht="13.2" x14ac:dyDescent="0.25">
      <c r="A1355" s="9" t="s">
        <v>1040</v>
      </c>
      <c r="B1355" s="9" t="s">
        <v>342</v>
      </c>
      <c r="C1355" s="74" t="s">
        <v>1062</v>
      </c>
      <c r="D1355" s="74" t="s">
        <v>533</v>
      </c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</row>
    <row r="1356" spans="1:24" ht="13.2" x14ac:dyDescent="0.25">
      <c r="A1356" s="9" t="s">
        <v>1040</v>
      </c>
      <c r="B1356" s="9" t="s">
        <v>343</v>
      </c>
      <c r="C1356" s="74" t="s">
        <v>315</v>
      </c>
      <c r="D1356" s="74" t="s">
        <v>535</v>
      </c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</row>
    <row r="1357" spans="1:24" ht="13.2" x14ac:dyDescent="0.25">
      <c r="A1357" s="9" t="s">
        <v>1040</v>
      </c>
      <c r="B1357" s="9" t="s">
        <v>344</v>
      </c>
      <c r="C1357" s="74" t="s">
        <v>315</v>
      </c>
      <c r="D1357" s="74" t="s">
        <v>535</v>
      </c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</row>
    <row r="1358" spans="1:24" ht="13.2" x14ac:dyDescent="0.25">
      <c r="A1358" s="9" t="s">
        <v>1040</v>
      </c>
      <c r="B1358" s="9" t="s">
        <v>345</v>
      </c>
      <c r="C1358" s="90">
        <v>8.0000000000000004E-4</v>
      </c>
      <c r="D1358" s="74" t="s">
        <v>533</v>
      </c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</row>
    <row r="1359" spans="1:24" ht="13.2" x14ac:dyDescent="0.25">
      <c r="A1359" s="9" t="s">
        <v>1040</v>
      </c>
      <c r="B1359" s="9" t="s">
        <v>346</v>
      </c>
      <c r="C1359" s="74" t="s">
        <v>315</v>
      </c>
      <c r="D1359" s="74" t="s">
        <v>535</v>
      </c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</row>
    <row r="1360" spans="1:24" ht="13.2" x14ac:dyDescent="0.25">
      <c r="A1360" s="9" t="s">
        <v>1040</v>
      </c>
      <c r="B1360" s="9" t="s">
        <v>347</v>
      </c>
      <c r="C1360" s="90">
        <v>0.189</v>
      </c>
      <c r="D1360" s="74" t="s">
        <v>533</v>
      </c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</row>
    <row r="1361" spans="1:24" ht="13.2" x14ac:dyDescent="0.25">
      <c r="A1361" s="9" t="s">
        <v>1040</v>
      </c>
      <c r="B1361" s="9" t="s">
        <v>348</v>
      </c>
      <c r="C1361" s="74" t="s">
        <v>315</v>
      </c>
      <c r="D1361" s="74" t="s">
        <v>535</v>
      </c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</row>
    <row r="1362" spans="1:24" ht="13.2" x14ac:dyDescent="0.25">
      <c r="A1362" s="9" t="s">
        <v>1040</v>
      </c>
      <c r="B1362" s="9" t="s">
        <v>349</v>
      </c>
      <c r="C1362" s="91">
        <v>0.75</v>
      </c>
      <c r="D1362" s="74" t="s">
        <v>533</v>
      </c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</row>
    <row r="1363" spans="1:24" ht="13.2" x14ac:dyDescent="0.25">
      <c r="A1363" s="9" t="s">
        <v>1040</v>
      </c>
      <c r="B1363" s="9" t="s">
        <v>150</v>
      </c>
      <c r="C1363" s="91">
        <v>0.62</v>
      </c>
      <c r="D1363" s="74" t="s">
        <v>533</v>
      </c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</row>
    <row r="1364" spans="1:24" ht="13.2" x14ac:dyDescent="0.25">
      <c r="A1364" s="9" t="s">
        <v>1040</v>
      </c>
      <c r="B1364" s="9" t="s">
        <v>351</v>
      </c>
      <c r="C1364" s="74" t="s">
        <v>315</v>
      </c>
      <c r="D1364" s="74" t="s">
        <v>535</v>
      </c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</row>
    <row r="1365" spans="1:24" ht="13.2" x14ac:dyDescent="0.25">
      <c r="A1365" s="9" t="s">
        <v>1040</v>
      </c>
      <c r="B1365" s="9" t="s">
        <v>152</v>
      </c>
      <c r="C1365" s="74" t="s">
        <v>315</v>
      </c>
      <c r="D1365" s="74" t="s">
        <v>535</v>
      </c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</row>
    <row r="1366" spans="1:24" ht="13.2" x14ac:dyDescent="0.25">
      <c r="A1366" s="9" t="s">
        <v>1040</v>
      </c>
      <c r="B1366" s="9" t="s">
        <v>78</v>
      </c>
      <c r="C1366" s="74">
        <v>2024</v>
      </c>
      <c r="D1366" s="74" t="s">
        <v>533</v>
      </c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</row>
    <row r="1367" spans="1:24" ht="13.2" x14ac:dyDescent="0.25">
      <c r="A1367" s="9" t="s">
        <v>1040</v>
      </c>
      <c r="B1367" s="9" t="s">
        <v>80</v>
      </c>
      <c r="C1367" s="74">
        <v>2030</v>
      </c>
      <c r="D1367" s="74" t="s">
        <v>533</v>
      </c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</row>
    <row r="1368" spans="1:24" ht="13.2" x14ac:dyDescent="0.25">
      <c r="A1368" s="9" t="s">
        <v>1040</v>
      </c>
      <c r="B1368" s="9" t="s">
        <v>82</v>
      </c>
      <c r="C1368" s="74">
        <v>2030</v>
      </c>
      <c r="D1368" s="74" t="s">
        <v>533</v>
      </c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</row>
    <row r="1369" spans="1:24" ht="13.2" x14ac:dyDescent="0.25">
      <c r="A1369" s="9" t="s">
        <v>110</v>
      </c>
      <c r="B1369" s="9" t="s">
        <v>2</v>
      </c>
      <c r="C1369" s="74" t="s">
        <v>1063</v>
      </c>
      <c r="D1369" s="74" t="s">
        <v>533</v>
      </c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</row>
    <row r="1370" spans="1:24" ht="13.2" x14ac:dyDescent="0.25">
      <c r="A1370" s="9" t="s">
        <v>110</v>
      </c>
      <c r="B1370" s="9" t="s">
        <v>4</v>
      </c>
      <c r="C1370" s="90">
        <v>0.97099999999999997</v>
      </c>
      <c r="D1370" s="74" t="s">
        <v>533</v>
      </c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</row>
    <row r="1371" spans="1:24" ht="13.2" x14ac:dyDescent="0.25">
      <c r="A1371" s="9" t="s">
        <v>110</v>
      </c>
      <c r="B1371" s="9" t="s">
        <v>6</v>
      </c>
      <c r="C1371" s="90">
        <v>0.64500000000000002</v>
      </c>
      <c r="D1371" s="74" t="s">
        <v>533</v>
      </c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</row>
    <row r="1372" spans="1:24" ht="13.2" x14ac:dyDescent="0.25">
      <c r="A1372" s="9" t="s">
        <v>110</v>
      </c>
      <c r="B1372" s="9" t="s">
        <v>8</v>
      </c>
      <c r="C1372" s="74" t="s">
        <v>1064</v>
      </c>
      <c r="D1372" s="74" t="s">
        <v>533</v>
      </c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</row>
    <row r="1373" spans="1:24" ht="13.2" x14ac:dyDescent="0.25">
      <c r="A1373" s="9" t="s">
        <v>110</v>
      </c>
      <c r="B1373" s="9" t="s">
        <v>10</v>
      </c>
      <c r="C1373" s="74" t="s">
        <v>834</v>
      </c>
      <c r="D1373" s="74" t="s">
        <v>535</v>
      </c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</row>
    <row r="1374" spans="1:24" ht="13.2" x14ac:dyDescent="0.25">
      <c r="A1374" s="9" t="s">
        <v>110</v>
      </c>
      <c r="B1374" s="9" t="s">
        <v>12</v>
      </c>
      <c r="C1374" s="74" t="s">
        <v>834</v>
      </c>
      <c r="D1374" s="74" t="s">
        <v>535</v>
      </c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</row>
    <row r="1375" spans="1:24" ht="13.2" x14ac:dyDescent="0.25">
      <c r="A1375" s="9" t="s">
        <v>110</v>
      </c>
      <c r="B1375" s="9" t="s">
        <v>14</v>
      </c>
      <c r="C1375" s="74" t="s">
        <v>1065</v>
      </c>
      <c r="D1375" s="74" t="s">
        <v>533</v>
      </c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</row>
    <row r="1376" spans="1:24" ht="13.2" x14ac:dyDescent="0.25">
      <c r="A1376" s="9" t="s">
        <v>110</v>
      </c>
      <c r="B1376" s="9" t="s">
        <v>16</v>
      </c>
      <c r="C1376" s="74" t="s">
        <v>815</v>
      </c>
      <c r="D1376" s="74" t="s">
        <v>535</v>
      </c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</row>
    <row r="1377" spans="1:24" ht="13.2" x14ac:dyDescent="0.25">
      <c r="A1377" s="9" t="s">
        <v>110</v>
      </c>
      <c r="B1377" s="9" t="s">
        <v>18</v>
      </c>
      <c r="C1377" s="74" t="s">
        <v>815</v>
      </c>
      <c r="D1377" s="74" t="s">
        <v>535</v>
      </c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</row>
    <row r="1378" spans="1:24" ht="13.2" x14ac:dyDescent="0.25">
      <c r="A1378" s="9" t="s">
        <v>110</v>
      </c>
      <c r="B1378" s="9" t="s">
        <v>20</v>
      </c>
      <c r="C1378" s="74" t="s">
        <v>315</v>
      </c>
      <c r="D1378" s="74" t="s">
        <v>535</v>
      </c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</row>
    <row r="1379" spans="1:24" ht="13.2" x14ac:dyDescent="0.25">
      <c r="A1379" s="9" t="s">
        <v>110</v>
      </c>
      <c r="B1379" s="9" t="s">
        <v>22</v>
      </c>
      <c r="C1379" s="74" t="s">
        <v>1066</v>
      </c>
      <c r="D1379" s="74" t="s">
        <v>533</v>
      </c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</row>
    <row r="1380" spans="1:24" ht="13.2" x14ac:dyDescent="0.25">
      <c r="A1380" s="9" t="s">
        <v>110</v>
      </c>
      <c r="B1380" s="9" t="s">
        <v>24</v>
      </c>
      <c r="C1380" s="74" t="s">
        <v>1067</v>
      </c>
      <c r="D1380" s="74" t="s">
        <v>535</v>
      </c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</row>
    <row r="1381" spans="1:24" ht="13.2" x14ac:dyDescent="0.25">
      <c r="A1381" s="9" t="s">
        <v>110</v>
      </c>
      <c r="B1381" s="9" t="s">
        <v>26</v>
      </c>
      <c r="C1381" s="74" t="s">
        <v>1068</v>
      </c>
      <c r="D1381" s="74" t="s">
        <v>535</v>
      </c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</row>
    <row r="1382" spans="1:24" ht="13.2" x14ac:dyDescent="0.25">
      <c r="A1382" s="9" t="s">
        <v>110</v>
      </c>
      <c r="B1382" s="9" t="s">
        <v>28</v>
      </c>
      <c r="C1382" s="74" t="s">
        <v>1068</v>
      </c>
      <c r="D1382" s="74" t="s">
        <v>535</v>
      </c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</row>
    <row r="1383" spans="1:24" ht="13.2" x14ac:dyDescent="0.25">
      <c r="A1383" s="9" t="s">
        <v>110</v>
      </c>
      <c r="B1383" s="9" t="s">
        <v>30</v>
      </c>
      <c r="C1383" s="74" t="s">
        <v>315</v>
      </c>
      <c r="D1383" s="74" t="s">
        <v>535</v>
      </c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</row>
    <row r="1384" spans="1:24" ht="13.2" x14ac:dyDescent="0.25">
      <c r="A1384" s="9" t="s">
        <v>110</v>
      </c>
      <c r="B1384" s="9" t="s">
        <v>32</v>
      </c>
      <c r="C1384" s="74" t="s">
        <v>315</v>
      </c>
      <c r="D1384" s="74" t="s">
        <v>535</v>
      </c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</row>
    <row r="1385" spans="1:24" ht="13.2" x14ac:dyDescent="0.25">
      <c r="A1385" s="9" t="s">
        <v>110</v>
      </c>
      <c r="B1385" s="9" t="s">
        <v>34</v>
      </c>
      <c r="C1385" s="74" t="s">
        <v>315</v>
      </c>
      <c r="D1385" s="74" t="s">
        <v>535</v>
      </c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</row>
    <row r="1386" spans="1:24" ht="13.2" x14ac:dyDescent="0.25">
      <c r="A1386" s="9" t="s">
        <v>110</v>
      </c>
      <c r="B1386" s="9" t="s">
        <v>36</v>
      </c>
      <c r="C1386" s="74" t="s">
        <v>315</v>
      </c>
      <c r="D1386" s="74" t="s">
        <v>535</v>
      </c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</row>
    <row r="1387" spans="1:24" ht="13.2" x14ac:dyDescent="0.25">
      <c r="A1387" s="9" t="s">
        <v>110</v>
      </c>
      <c r="B1387" s="9" t="s">
        <v>38</v>
      </c>
      <c r="C1387" s="74" t="s">
        <v>315</v>
      </c>
      <c r="D1387" s="74" t="s">
        <v>535</v>
      </c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</row>
    <row r="1388" spans="1:24" ht="13.2" x14ac:dyDescent="0.25">
      <c r="A1388" s="9" t="s">
        <v>110</v>
      </c>
      <c r="B1388" s="9" t="s">
        <v>40</v>
      </c>
      <c r="C1388" s="74" t="s">
        <v>315</v>
      </c>
      <c r="D1388" s="74" t="s">
        <v>535</v>
      </c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</row>
    <row r="1389" spans="1:24" ht="13.2" x14ac:dyDescent="0.25">
      <c r="A1389" s="9" t="s">
        <v>110</v>
      </c>
      <c r="B1389" s="9" t="s">
        <v>42</v>
      </c>
      <c r="C1389" s="74" t="s">
        <v>315</v>
      </c>
      <c r="D1389" s="74" t="s">
        <v>535</v>
      </c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</row>
    <row r="1390" spans="1:24" ht="13.2" x14ac:dyDescent="0.25">
      <c r="A1390" s="9" t="s">
        <v>110</v>
      </c>
      <c r="B1390" s="9" t="s">
        <v>44</v>
      </c>
      <c r="C1390" s="74" t="s">
        <v>1069</v>
      </c>
      <c r="D1390" s="74" t="s">
        <v>537</v>
      </c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</row>
    <row r="1391" spans="1:24" ht="13.2" x14ac:dyDescent="0.25">
      <c r="A1391" s="9" t="s">
        <v>110</v>
      </c>
      <c r="B1391" s="9" t="s">
        <v>46</v>
      </c>
      <c r="C1391" s="74" t="s">
        <v>315</v>
      </c>
      <c r="D1391" s="74" t="s">
        <v>535</v>
      </c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</row>
    <row r="1392" spans="1:24" ht="13.2" x14ac:dyDescent="0.25">
      <c r="A1392" s="9" t="s">
        <v>110</v>
      </c>
      <c r="B1392" s="9" t="s">
        <v>48</v>
      </c>
      <c r="C1392" s="74" t="s">
        <v>315</v>
      </c>
      <c r="D1392" s="74" t="s">
        <v>535</v>
      </c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</row>
    <row r="1393" spans="1:24" ht="13.2" x14ac:dyDescent="0.25">
      <c r="A1393" s="9" t="s">
        <v>110</v>
      </c>
      <c r="B1393" s="9" t="s">
        <v>124</v>
      </c>
      <c r="C1393" s="74" t="s">
        <v>1070</v>
      </c>
      <c r="D1393" s="74" t="s">
        <v>533</v>
      </c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</row>
    <row r="1394" spans="1:24" ht="13.2" x14ac:dyDescent="0.25">
      <c r="A1394" s="9" t="s">
        <v>110</v>
      </c>
      <c r="B1394" s="9" t="s">
        <v>126</v>
      </c>
      <c r="C1394" s="74" t="s">
        <v>1071</v>
      </c>
      <c r="D1394" s="74" t="s">
        <v>537</v>
      </c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</row>
    <row r="1395" spans="1:24" ht="13.2" x14ac:dyDescent="0.25">
      <c r="A1395" s="9" t="s">
        <v>110</v>
      </c>
      <c r="B1395" s="9" t="s">
        <v>130</v>
      </c>
      <c r="C1395" s="74" t="s">
        <v>315</v>
      </c>
      <c r="D1395" s="74" t="s">
        <v>535</v>
      </c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</row>
    <row r="1396" spans="1:24" ht="13.2" x14ac:dyDescent="0.25">
      <c r="A1396" s="9" t="s">
        <v>110</v>
      </c>
      <c r="B1396" s="9" t="s">
        <v>131</v>
      </c>
      <c r="C1396" s="74" t="s">
        <v>315</v>
      </c>
      <c r="D1396" s="74" t="s">
        <v>535</v>
      </c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</row>
    <row r="1397" spans="1:24" ht="13.2" x14ac:dyDescent="0.25">
      <c r="A1397" s="9" t="s">
        <v>110</v>
      </c>
      <c r="B1397" s="9" t="s">
        <v>132</v>
      </c>
      <c r="C1397" s="74" t="s">
        <v>1072</v>
      </c>
      <c r="D1397" s="74" t="s">
        <v>535</v>
      </c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</row>
    <row r="1398" spans="1:24" ht="13.2" x14ac:dyDescent="0.25">
      <c r="A1398" s="9" t="s">
        <v>110</v>
      </c>
      <c r="B1398" s="9" t="s">
        <v>50</v>
      </c>
      <c r="C1398" s="74" t="s">
        <v>1073</v>
      </c>
      <c r="D1398" s="74" t="s">
        <v>533</v>
      </c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</row>
    <row r="1399" spans="1:24" ht="13.2" x14ac:dyDescent="0.25">
      <c r="A1399" s="9" t="s">
        <v>110</v>
      </c>
      <c r="B1399" s="9" t="s">
        <v>52</v>
      </c>
      <c r="C1399" s="74" t="s">
        <v>1074</v>
      </c>
      <c r="D1399" s="74" t="s">
        <v>533</v>
      </c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</row>
    <row r="1400" spans="1:24" ht="13.2" x14ac:dyDescent="0.25">
      <c r="A1400" s="9" t="s">
        <v>110</v>
      </c>
      <c r="B1400" s="9" t="s">
        <v>54</v>
      </c>
      <c r="C1400" s="74" t="s">
        <v>1075</v>
      </c>
      <c r="D1400" s="74" t="s">
        <v>533</v>
      </c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</row>
    <row r="1401" spans="1:24" ht="13.2" x14ac:dyDescent="0.25">
      <c r="A1401" s="9" t="s">
        <v>110</v>
      </c>
      <c r="B1401" s="9" t="s">
        <v>134</v>
      </c>
      <c r="C1401" s="74" t="s">
        <v>1076</v>
      </c>
      <c r="D1401" s="74" t="s">
        <v>537</v>
      </c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</row>
    <row r="1402" spans="1:24" ht="13.2" x14ac:dyDescent="0.25">
      <c r="A1402" s="9" t="s">
        <v>110</v>
      </c>
      <c r="B1402" s="9" t="s">
        <v>135</v>
      </c>
      <c r="C1402" s="74" t="s">
        <v>1077</v>
      </c>
      <c r="D1402" s="74" t="s">
        <v>537</v>
      </c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</row>
    <row r="1403" spans="1:24" ht="13.2" x14ac:dyDescent="0.25">
      <c r="A1403" s="9" t="s">
        <v>110</v>
      </c>
      <c r="B1403" s="9" t="s">
        <v>136</v>
      </c>
      <c r="C1403" s="74" t="s">
        <v>1078</v>
      </c>
      <c r="D1403" s="74" t="s">
        <v>537</v>
      </c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</row>
    <row r="1404" spans="1:24" ht="13.2" x14ac:dyDescent="0.25">
      <c r="A1404" s="9" t="s">
        <v>110</v>
      </c>
      <c r="B1404" s="9" t="s">
        <v>56</v>
      </c>
      <c r="C1404" s="74" t="s">
        <v>315</v>
      </c>
      <c r="D1404" s="74" t="s">
        <v>535</v>
      </c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</row>
    <row r="1405" spans="1:24" ht="13.2" x14ac:dyDescent="0.25">
      <c r="A1405" s="9" t="s">
        <v>110</v>
      </c>
      <c r="B1405" s="9" t="s">
        <v>337</v>
      </c>
      <c r="C1405" s="74" t="s">
        <v>1079</v>
      </c>
      <c r="D1405" s="74" t="s">
        <v>533</v>
      </c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</row>
    <row r="1406" spans="1:24" ht="13.2" x14ac:dyDescent="0.25">
      <c r="A1406" s="9" t="s">
        <v>110</v>
      </c>
      <c r="B1406" s="9" t="s">
        <v>470</v>
      </c>
      <c r="C1406" s="74" t="s">
        <v>356</v>
      </c>
      <c r="D1406" s="74" t="s">
        <v>535</v>
      </c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</row>
    <row r="1407" spans="1:24" ht="13.2" x14ac:dyDescent="0.25">
      <c r="A1407" s="9" t="s">
        <v>110</v>
      </c>
      <c r="B1407" s="9" t="s">
        <v>472</v>
      </c>
      <c r="C1407" s="74" t="s">
        <v>1080</v>
      </c>
      <c r="D1407" s="74" t="s">
        <v>537</v>
      </c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</row>
    <row r="1408" spans="1:24" ht="13.2" x14ac:dyDescent="0.25">
      <c r="A1408" s="9" t="s">
        <v>110</v>
      </c>
      <c r="B1408" s="9" t="s">
        <v>66</v>
      </c>
      <c r="C1408" s="74" t="s">
        <v>1081</v>
      </c>
      <c r="D1408" s="74" t="s">
        <v>533</v>
      </c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</row>
    <row r="1409" spans="1:24" ht="13.2" x14ac:dyDescent="0.25">
      <c r="A1409" s="9" t="s">
        <v>110</v>
      </c>
      <c r="B1409" s="9" t="s">
        <v>68</v>
      </c>
      <c r="C1409" s="91">
        <v>0.4</v>
      </c>
      <c r="D1409" s="74" t="s">
        <v>533</v>
      </c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</row>
    <row r="1410" spans="1:24" ht="13.2" x14ac:dyDescent="0.25">
      <c r="A1410" s="9" t="s">
        <v>110</v>
      </c>
      <c r="B1410" s="9" t="s">
        <v>341</v>
      </c>
      <c r="C1410" s="74" t="s">
        <v>315</v>
      </c>
      <c r="D1410" s="74" t="s">
        <v>535</v>
      </c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</row>
    <row r="1411" spans="1:24" ht="13.2" x14ac:dyDescent="0.25">
      <c r="A1411" s="9" t="s">
        <v>110</v>
      </c>
      <c r="B1411" s="9" t="s">
        <v>72</v>
      </c>
      <c r="C1411" s="74" t="s">
        <v>315</v>
      </c>
      <c r="D1411" s="74" t="s">
        <v>535</v>
      </c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</row>
    <row r="1412" spans="1:24" ht="13.2" x14ac:dyDescent="0.25">
      <c r="A1412" s="9" t="s">
        <v>110</v>
      </c>
      <c r="B1412" s="9" t="s">
        <v>342</v>
      </c>
      <c r="C1412" s="74" t="s">
        <v>1082</v>
      </c>
      <c r="D1412" s="74" t="s">
        <v>537</v>
      </c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</row>
    <row r="1413" spans="1:24" ht="13.2" x14ac:dyDescent="0.25">
      <c r="A1413" s="9" t="s">
        <v>110</v>
      </c>
      <c r="B1413" s="9" t="s">
        <v>343</v>
      </c>
      <c r="C1413" s="74" t="s">
        <v>315</v>
      </c>
      <c r="D1413" s="74" t="s">
        <v>535</v>
      </c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</row>
    <row r="1414" spans="1:24" ht="13.2" x14ac:dyDescent="0.25">
      <c r="A1414" s="9" t="s">
        <v>110</v>
      </c>
      <c r="B1414" s="9" t="s">
        <v>344</v>
      </c>
      <c r="C1414" s="74" t="s">
        <v>315</v>
      </c>
      <c r="D1414" s="74" t="s">
        <v>535</v>
      </c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</row>
    <row r="1415" spans="1:24" ht="13.2" x14ac:dyDescent="0.25">
      <c r="A1415" s="9" t="s">
        <v>110</v>
      </c>
      <c r="B1415" s="9" t="s">
        <v>345</v>
      </c>
      <c r="C1415" s="90">
        <v>1E-3</v>
      </c>
      <c r="D1415" s="74" t="s">
        <v>533</v>
      </c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</row>
    <row r="1416" spans="1:24" ht="13.2" x14ac:dyDescent="0.25">
      <c r="A1416" s="9" t="s">
        <v>110</v>
      </c>
      <c r="B1416" s="9" t="s">
        <v>346</v>
      </c>
      <c r="C1416" s="74" t="s">
        <v>315</v>
      </c>
      <c r="D1416" s="74" t="s">
        <v>535</v>
      </c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</row>
    <row r="1417" spans="1:24" ht="13.2" x14ac:dyDescent="0.25">
      <c r="A1417" s="9" t="s">
        <v>110</v>
      </c>
      <c r="B1417" s="9" t="s">
        <v>347</v>
      </c>
      <c r="C1417" s="91">
        <v>0.34</v>
      </c>
      <c r="D1417" s="74" t="s">
        <v>533</v>
      </c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</row>
    <row r="1418" spans="1:24" ht="13.2" x14ac:dyDescent="0.25">
      <c r="A1418" s="9" t="s">
        <v>110</v>
      </c>
      <c r="B1418" s="9" t="s">
        <v>348</v>
      </c>
      <c r="C1418" s="74" t="s">
        <v>315</v>
      </c>
      <c r="D1418" s="74" t="s">
        <v>535</v>
      </c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</row>
    <row r="1419" spans="1:24" ht="13.2" x14ac:dyDescent="0.25">
      <c r="A1419" s="9" t="s">
        <v>110</v>
      </c>
      <c r="B1419" s="9" t="s">
        <v>349</v>
      </c>
      <c r="C1419" s="74" t="s">
        <v>1083</v>
      </c>
      <c r="D1419" s="74" t="s">
        <v>535</v>
      </c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</row>
    <row r="1420" spans="1:24" ht="13.2" x14ac:dyDescent="0.25">
      <c r="A1420" s="9" t="s">
        <v>110</v>
      </c>
      <c r="B1420" s="9" t="s">
        <v>150</v>
      </c>
      <c r="C1420" s="74" t="s">
        <v>1084</v>
      </c>
      <c r="D1420" s="74" t="s">
        <v>535</v>
      </c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</row>
    <row r="1421" spans="1:24" ht="13.2" x14ac:dyDescent="0.25">
      <c r="A1421" s="9" t="s">
        <v>110</v>
      </c>
      <c r="B1421" s="9" t="s">
        <v>351</v>
      </c>
      <c r="C1421" s="74" t="s">
        <v>1235</v>
      </c>
      <c r="D1421" s="74" t="s">
        <v>537</v>
      </c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</row>
    <row r="1422" spans="1:24" ht="13.2" x14ac:dyDescent="0.25">
      <c r="A1422" s="9" t="s">
        <v>110</v>
      </c>
      <c r="B1422" s="9" t="s">
        <v>152</v>
      </c>
      <c r="C1422" s="74" t="s">
        <v>315</v>
      </c>
      <c r="D1422" s="74" t="s">
        <v>535</v>
      </c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</row>
    <row r="1423" spans="1:24" ht="13.2" x14ac:dyDescent="0.25">
      <c r="A1423" s="9" t="s">
        <v>110</v>
      </c>
      <c r="B1423" s="9" t="s">
        <v>78</v>
      </c>
      <c r="C1423" s="74">
        <v>2024</v>
      </c>
      <c r="D1423" s="74" t="s">
        <v>533</v>
      </c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</row>
    <row r="1424" spans="1:24" ht="13.2" x14ac:dyDescent="0.25">
      <c r="A1424" s="9" t="s">
        <v>110</v>
      </c>
      <c r="B1424" s="9" t="s">
        <v>80</v>
      </c>
      <c r="C1424" s="74">
        <v>2030</v>
      </c>
      <c r="D1424" s="74" t="s">
        <v>533</v>
      </c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</row>
    <row r="1425" spans="1:24" ht="13.2" x14ac:dyDescent="0.25">
      <c r="A1425" s="9" t="s">
        <v>110</v>
      </c>
      <c r="B1425" s="9" t="s">
        <v>82</v>
      </c>
      <c r="C1425" s="74">
        <v>2029</v>
      </c>
      <c r="D1425" s="74" t="s">
        <v>533</v>
      </c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</row>
    <row r="1426" spans="1:24" ht="13.2" x14ac:dyDescent="0.25">
      <c r="A1426" s="9" t="s">
        <v>111</v>
      </c>
      <c r="B1426" s="9" t="s">
        <v>2</v>
      </c>
      <c r="C1426" s="91">
        <v>0.36</v>
      </c>
      <c r="D1426" s="74" t="s">
        <v>533</v>
      </c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</row>
    <row r="1427" spans="1:24" ht="13.2" x14ac:dyDescent="0.25">
      <c r="A1427" s="9" t="s">
        <v>111</v>
      </c>
      <c r="B1427" s="9" t="s">
        <v>4</v>
      </c>
      <c r="C1427" s="74" t="s">
        <v>315</v>
      </c>
      <c r="D1427" s="74" t="s">
        <v>535</v>
      </c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</row>
    <row r="1428" spans="1:24" ht="13.2" x14ac:dyDescent="0.25">
      <c r="A1428" s="9" t="s">
        <v>111</v>
      </c>
      <c r="B1428" s="9" t="s">
        <v>6</v>
      </c>
      <c r="C1428" s="74" t="s">
        <v>315</v>
      </c>
      <c r="D1428" s="74" t="s">
        <v>535</v>
      </c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</row>
    <row r="1429" spans="1:24" ht="13.2" x14ac:dyDescent="0.25">
      <c r="A1429" s="9" t="s">
        <v>111</v>
      </c>
      <c r="B1429" s="9" t="s">
        <v>8</v>
      </c>
      <c r="C1429" s="91">
        <v>0.78</v>
      </c>
      <c r="D1429" s="74" t="s">
        <v>533</v>
      </c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</row>
    <row r="1430" spans="1:24" ht="13.2" x14ac:dyDescent="0.25">
      <c r="A1430" s="9" t="s">
        <v>111</v>
      </c>
      <c r="B1430" s="9" t="s">
        <v>10</v>
      </c>
      <c r="C1430" s="74" t="s">
        <v>315</v>
      </c>
      <c r="D1430" s="74" t="s">
        <v>535</v>
      </c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</row>
    <row r="1431" spans="1:24" ht="13.2" x14ac:dyDescent="0.25">
      <c r="A1431" s="9" t="s">
        <v>111</v>
      </c>
      <c r="B1431" s="9" t="s">
        <v>12</v>
      </c>
      <c r="C1431" s="74" t="s">
        <v>315</v>
      </c>
      <c r="D1431" s="74" t="s">
        <v>535</v>
      </c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</row>
    <row r="1432" spans="1:24" ht="13.2" x14ac:dyDescent="0.25">
      <c r="A1432" s="9" t="s">
        <v>111</v>
      </c>
      <c r="B1432" s="9" t="s">
        <v>14</v>
      </c>
      <c r="C1432" s="74" t="s">
        <v>315</v>
      </c>
      <c r="D1432" s="74" t="s">
        <v>535</v>
      </c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</row>
    <row r="1433" spans="1:24" ht="13.2" x14ac:dyDescent="0.25">
      <c r="A1433" s="9" t="s">
        <v>111</v>
      </c>
      <c r="B1433" s="9" t="s">
        <v>16</v>
      </c>
      <c r="C1433" s="74" t="s">
        <v>1085</v>
      </c>
      <c r="D1433" s="74" t="s">
        <v>533</v>
      </c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</row>
    <row r="1434" spans="1:24" ht="13.2" x14ac:dyDescent="0.25">
      <c r="A1434" s="9" t="s">
        <v>111</v>
      </c>
      <c r="B1434" s="9" t="s">
        <v>18</v>
      </c>
      <c r="C1434" s="74" t="s">
        <v>1086</v>
      </c>
      <c r="D1434" s="74" t="s">
        <v>533</v>
      </c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</row>
    <row r="1435" spans="1:24" ht="13.2" x14ac:dyDescent="0.25">
      <c r="A1435" s="9" t="s">
        <v>111</v>
      </c>
      <c r="B1435" s="9" t="s">
        <v>20</v>
      </c>
      <c r="C1435" s="74" t="s">
        <v>512</v>
      </c>
      <c r="D1435" s="74" t="s">
        <v>535</v>
      </c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</row>
    <row r="1436" spans="1:24" ht="13.2" x14ac:dyDescent="0.25">
      <c r="A1436" s="9" t="s">
        <v>111</v>
      </c>
      <c r="B1436" s="9" t="s">
        <v>22</v>
      </c>
      <c r="C1436" s="74" t="s">
        <v>1087</v>
      </c>
      <c r="D1436" s="74" t="s">
        <v>537</v>
      </c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</row>
    <row r="1437" spans="1:24" ht="13.2" x14ac:dyDescent="0.25">
      <c r="A1437" s="9" t="s">
        <v>111</v>
      </c>
      <c r="B1437" s="9" t="s">
        <v>24</v>
      </c>
      <c r="C1437" s="74" t="s">
        <v>382</v>
      </c>
      <c r="D1437" s="74" t="s">
        <v>535</v>
      </c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</row>
    <row r="1438" spans="1:24" ht="13.2" x14ac:dyDescent="0.25">
      <c r="A1438" s="9" t="s">
        <v>111</v>
      </c>
      <c r="B1438" s="9" t="s">
        <v>26</v>
      </c>
      <c r="C1438" s="74" t="s">
        <v>1088</v>
      </c>
      <c r="D1438" s="74" t="s">
        <v>533</v>
      </c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</row>
    <row r="1439" spans="1:24" ht="13.2" x14ac:dyDescent="0.25">
      <c r="A1439" s="9" t="s">
        <v>111</v>
      </c>
      <c r="B1439" s="9" t="s">
        <v>28</v>
      </c>
      <c r="C1439" s="74" t="s">
        <v>315</v>
      </c>
      <c r="D1439" s="74" t="s">
        <v>535</v>
      </c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</row>
    <row r="1440" spans="1:24" ht="13.2" x14ac:dyDescent="0.25">
      <c r="A1440" s="9" t="s">
        <v>111</v>
      </c>
      <c r="B1440" s="9" t="s">
        <v>30</v>
      </c>
      <c r="C1440" s="74" t="s">
        <v>1089</v>
      </c>
      <c r="D1440" s="74" t="s">
        <v>533</v>
      </c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</row>
    <row r="1441" spans="1:24" ht="13.2" x14ac:dyDescent="0.25">
      <c r="A1441" s="9" t="s">
        <v>111</v>
      </c>
      <c r="B1441" s="9" t="s">
        <v>32</v>
      </c>
      <c r="C1441" s="74" t="s">
        <v>315</v>
      </c>
      <c r="D1441" s="74" t="s">
        <v>535</v>
      </c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</row>
    <row r="1442" spans="1:24" ht="13.2" x14ac:dyDescent="0.25">
      <c r="A1442" s="9" t="s">
        <v>111</v>
      </c>
      <c r="B1442" s="9" t="s">
        <v>34</v>
      </c>
      <c r="C1442" s="74" t="s">
        <v>315</v>
      </c>
      <c r="D1442" s="74" t="s">
        <v>535</v>
      </c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</row>
    <row r="1443" spans="1:24" ht="13.2" x14ac:dyDescent="0.25">
      <c r="A1443" s="9" t="s">
        <v>111</v>
      </c>
      <c r="B1443" s="9" t="s">
        <v>36</v>
      </c>
      <c r="C1443" s="74" t="s">
        <v>1090</v>
      </c>
      <c r="D1443" s="74" t="s">
        <v>537</v>
      </c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</row>
    <row r="1444" spans="1:24" ht="13.2" x14ac:dyDescent="0.25">
      <c r="A1444" s="9" t="s">
        <v>111</v>
      </c>
      <c r="B1444" s="9" t="s">
        <v>38</v>
      </c>
      <c r="C1444" s="74" t="s">
        <v>1091</v>
      </c>
      <c r="D1444" s="74" t="s">
        <v>537</v>
      </c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</row>
    <row r="1445" spans="1:24" ht="13.2" x14ac:dyDescent="0.25">
      <c r="A1445" s="9" t="s">
        <v>111</v>
      </c>
      <c r="B1445" s="9" t="s">
        <v>40</v>
      </c>
      <c r="C1445" s="74" t="s">
        <v>1092</v>
      </c>
      <c r="D1445" s="74" t="s">
        <v>533</v>
      </c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</row>
    <row r="1446" spans="1:24" ht="13.2" x14ac:dyDescent="0.25">
      <c r="A1446" s="9" t="s">
        <v>111</v>
      </c>
      <c r="B1446" s="9" t="s">
        <v>42</v>
      </c>
      <c r="C1446" s="74" t="s">
        <v>1093</v>
      </c>
      <c r="D1446" s="74" t="s">
        <v>537</v>
      </c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</row>
    <row r="1447" spans="1:24" ht="13.2" x14ac:dyDescent="0.25">
      <c r="A1447" s="9" t="s">
        <v>111</v>
      </c>
      <c r="B1447" s="9" t="s">
        <v>44</v>
      </c>
      <c r="C1447" s="74" t="s">
        <v>315</v>
      </c>
      <c r="D1447" s="74" t="s">
        <v>535</v>
      </c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</row>
    <row r="1448" spans="1:24" ht="13.2" x14ac:dyDescent="0.25">
      <c r="A1448" s="9" t="s">
        <v>111</v>
      </c>
      <c r="B1448" s="9" t="s">
        <v>46</v>
      </c>
      <c r="C1448" s="74" t="s">
        <v>1094</v>
      </c>
      <c r="D1448" s="74" t="s">
        <v>533</v>
      </c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</row>
    <row r="1449" spans="1:24" ht="13.2" x14ac:dyDescent="0.25">
      <c r="A1449" s="9" t="s">
        <v>111</v>
      </c>
      <c r="B1449" s="9" t="s">
        <v>48</v>
      </c>
      <c r="C1449" s="74" t="s">
        <v>315</v>
      </c>
      <c r="D1449" s="74" t="s">
        <v>535</v>
      </c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</row>
    <row r="1450" spans="1:24" ht="13.2" x14ac:dyDescent="0.25">
      <c r="A1450" s="9" t="s">
        <v>111</v>
      </c>
      <c r="B1450" s="9" t="s">
        <v>124</v>
      </c>
      <c r="C1450" s="74" t="s">
        <v>1095</v>
      </c>
      <c r="D1450" s="74" t="s">
        <v>533</v>
      </c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</row>
    <row r="1451" spans="1:24" ht="13.2" x14ac:dyDescent="0.25">
      <c r="A1451" s="9" t="s">
        <v>111</v>
      </c>
      <c r="B1451" s="9" t="s">
        <v>126</v>
      </c>
      <c r="C1451" s="74" t="s">
        <v>1096</v>
      </c>
      <c r="D1451" s="74" t="s">
        <v>533</v>
      </c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</row>
    <row r="1452" spans="1:24" ht="13.2" x14ac:dyDescent="0.25">
      <c r="A1452" s="9" t="s">
        <v>111</v>
      </c>
      <c r="B1452" s="9" t="s">
        <v>130</v>
      </c>
      <c r="C1452" s="74" t="s">
        <v>1097</v>
      </c>
      <c r="D1452" s="74" t="s">
        <v>537</v>
      </c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</row>
    <row r="1453" spans="1:24" ht="13.2" x14ac:dyDescent="0.25">
      <c r="A1453" s="9" t="s">
        <v>111</v>
      </c>
      <c r="B1453" s="9" t="s">
        <v>131</v>
      </c>
      <c r="C1453" s="74" t="s">
        <v>1098</v>
      </c>
      <c r="D1453" s="74" t="s">
        <v>537</v>
      </c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</row>
    <row r="1454" spans="1:24" ht="13.2" x14ac:dyDescent="0.25">
      <c r="A1454" s="9" t="s">
        <v>111</v>
      </c>
      <c r="B1454" s="9" t="s">
        <v>132</v>
      </c>
      <c r="C1454" s="74" t="s">
        <v>1099</v>
      </c>
      <c r="D1454" s="74" t="s">
        <v>533</v>
      </c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</row>
    <row r="1455" spans="1:24" ht="13.2" x14ac:dyDescent="0.25">
      <c r="A1455" s="9" t="s">
        <v>111</v>
      </c>
      <c r="B1455" s="9" t="s">
        <v>50</v>
      </c>
      <c r="C1455" s="74" t="s">
        <v>1100</v>
      </c>
      <c r="D1455" s="74" t="s">
        <v>533</v>
      </c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</row>
    <row r="1456" spans="1:24" ht="13.2" x14ac:dyDescent="0.25">
      <c r="A1456" s="9" t="s">
        <v>111</v>
      </c>
      <c r="B1456" s="9" t="s">
        <v>52</v>
      </c>
      <c r="C1456" s="74" t="s">
        <v>1101</v>
      </c>
      <c r="D1456" s="74" t="s">
        <v>533</v>
      </c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</row>
    <row r="1457" spans="1:24" ht="13.2" x14ac:dyDescent="0.25">
      <c r="A1457" s="9" t="s">
        <v>111</v>
      </c>
      <c r="B1457" s="9" t="s">
        <v>54</v>
      </c>
      <c r="C1457" s="74" t="s">
        <v>1102</v>
      </c>
      <c r="D1457" s="74" t="s">
        <v>533</v>
      </c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</row>
    <row r="1458" spans="1:24" ht="13.2" x14ac:dyDescent="0.25">
      <c r="A1458" s="9" t="s">
        <v>111</v>
      </c>
      <c r="B1458" s="9" t="s">
        <v>134</v>
      </c>
      <c r="C1458" s="74" t="s">
        <v>1103</v>
      </c>
      <c r="D1458" s="74" t="s">
        <v>537</v>
      </c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</row>
    <row r="1459" spans="1:24" ht="13.2" x14ac:dyDescent="0.25">
      <c r="A1459" s="9" t="s">
        <v>111</v>
      </c>
      <c r="B1459" s="9" t="s">
        <v>135</v>
      </c>
      <c r="C1459" s="74" t="s">
        <v>1103</v>
      </c>
      <c r="D1459" s="74" t="s">
        <v>537</v>
      </c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</row>
    <row r="1460" spans="1:24" ht="13.2" x14ac:dyDescent="0.25">
      <c r="A1460" s="9" t="s">
        <v>111</v>
      </c>
      <c r="B1460" s="9" t="s">
        <v>136</v>
      </c>
      <c r="C1460" s="74" t="s">
        <v>1104</v>
      </c>
      <c r="D1460" s="74" t="s">
        <v>537</v>
      </c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</row>
    <row r="1461" spans="1:24" ht="13.2" x14ac:dyDescent="0.25">
      <c r="A1461" s="9" t="s">
        <v>111</v>
      </c>
      <c r="B1461" s="9" t="s">
        <v>56</v>
      </c>
      <c r="C1461" s="74" t="s">
        <v>596</v>
      </c>
      <c r="D1461" s="74" t="s">
        <v>533</v>
      </c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</row>
    <row r="1462" spans="1:24" ht="13.2" x14ac:dyDescent="0.25">
      <c r="A1462" s="9" t="s">
        <v>111</v>
      </c>
      <c r="B1462" s="9" t="s">
        <v>337</v>
      </c>
      <c r="C1462" s="74" t="s">
        <v>356</v>
      </c>
      <c r="D1462" s="74" t="s">
        <v>535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</row>
    <row r="1463" spans="1:24" ht="13.2" x14ac:dyDescent="0.25">
      <c r="A1463" s="9" t="s">
        <v>111</v>
      </c>
      <c r="B1463" s="9" t="s">
        <v>470</v>
      </c>
      <c r="C1463" s="74" t="s">
        <v>1105</v>
      </c>
      <c r="D1463" s="74" t="s">
        <v>537</v>
      </c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</row>
    <row r="1464" spans="1:24" ht="13.2" x14ac:dyDescent="0.25">
      <c r="A1464" s="9" t="s">
        <v>111</v>
      </c>
      <c r="B1464" s="9" t="s">
        <v>472</v>
      </c>
      <c r="C1464" s="74" t="s">
        <v>1106</v>
      </c>
      <c r="D1464" s="74" t="s">
        <v>537</v>
      </c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</row>
    <row r="1465" spans="1:24" ht="13.2" x14ac:dyDescent="0.25">
      <c r="A1465" s="9" t="s">
        <v>111</v>
      </c>
      <c r="B1465" s="9" t="s">
        <v>66</v>
      </c>
      <c r="C1465" s="91">
        <v>0.46</v>
      </c>
      <c r="D1465" s="74" t="s">
        <v>533</v>
      </c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</row>
    <row r="1466" spans="1:24" ht="13.2" x14ac:dyDescent="0.25">
      <c r="A1466" s="9" t="s">
        <v>111</v>
      </c>
      <c r="B1466" s="9" t="s">
        <v>68</v>
      </c>
      <c r="C1466" s="91">
        <v>0.52</v>
      </c>
      <c r="D1466" s="74" t="s">
        <v>533</v>
      </c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</row>
    <row r="1467" spans="1:24" ht="13.2" x14ac:dyDescent="0.25">
      <c r="A1467" s="9" t="s">
        <v>111</v>
      </c>
      <c r="B1467" s="9" t="s">
        <v>341</v>
      </c>
      <c r="C1467" s="74" t="s">
        <v>315</v>
      </c>
      <c r="D1467" s="74" t="s">
        <v>535</v>
      </c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</row>
    <row r="1468" spans="1:24" ht="13.2" x14ac:dyDescent="0.25">
      <c r="A1468" s="9" t="s">
        <v>111</v>
      </c>
      <c r="B1468" s="9" t="s">
        <v>72</v>
      </c>
      <c r="C1468" s="74" t="s">
        <v>315</v>
      </c>
      <c r="D1468" s="74" t="s">
        <v>535</v>
      </c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</row>
    <row r="1469" spans="1:24" ht="13.2" x14ac:dyDescent="0.25">
      <c r="A1469" s="9" t="s">
        <v>111</v>
      </c>
      <c r="B1469" s="9" t="s">
        <v>342</v>
      </c>
      <c r="C1469" s="90">
        <v>1.4999999999999999E-2</v>
      </c>
      <c r="D1469" s="74" t="s">
        <v>533</v>
      </c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</row>
    <row r="1470" spans="1:24" ht="13.2" x14ac:dyDescent="0.25">
      <c r="A1470" s="9" t="s">
        <v>111</v>
      </c>
      <c r="B1470" s="9" t="s">
        <v>343</v>
      </c>
      <c r="C1470" s="74" t="s">
        <v>315</v>
      </c>
      <c r="D1470" s="74" t="s">
        <v>535</v>
      </c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</row>
    <row r="1471" spans="1:24" ht="13.2" x14ac:dyDescent="0.25">
      <c r="A1471" s="9" t="s">
        <v>111</v>
      </c>
      <c r="B1471" s="9" t="s">
        <v>344</v>
      </c>
      <c r="C1471" s="74" t="s">
        <v>315</v>
      </c>
      <c r="D1471" s="74" t="s">
        <v>535</v>
      </c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</row>
    <row r="1472" spans="1:24" ht="13.2" x14ac:dyDescent="0.25">
      <c r="A1472" s="9" t="s">
        <v>111</v>
      </c>
      <c r="B1472" s="9" t="s">
        <v>345</v>
      </c>
      <c r="C1472" s="91">
        <v>0</v>
      </c>
      <c r="D1472" s="74" t="s">
        <v>533</v>
      </c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</row>
    <row r="1473" spans="1:24" ht="13.2" x14ac:dyDescent="0.25">
      <c r="A1473" s="9" t="s">
        <v>111</v>
      </c>
      <c r="B1473" s="9" t="s">
        <v>346</v>
      </c>
      <c r="C1473" s="74" t="s">
        <v>315</v>
      </c>
      <c r="D1473" s="74" t="s">
        <v>535</v>
      </c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</row>
    <row r="1474" spans="1:24" ht="13.2" x14ac:dyDescent="0.25">
      <c r="A1474" s="9" t="s">
        <v>111</v>
      </c>
      <c r="B1474" s="9" t="s">
        <v>347</v>
      </c>
      <c r="C1474" s="90">
        <v>8.9999999999999993E-3</v>
      </c>
      <c r="D1474" s="74" t="s">
        <v>533</v>
      </c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</row>
    <row r="1475" spans="1:24" ht="13.2" x14ac:dyDescent="0.25">
      <c r="A1475" s="9" t="s">
        <v>111</v>
      </c>
      <c r="B1475" s="9" t="s">
        <v>348</v>
      </c>
      <c r="C1475" s="91">
        <v>0</v>
      </c>
      <c r="D1475" s="74" t="s">
        <v>533</v>
      </c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</row>
    <row r="1476" spans="1:24" ht="13.2" x14ac:dyDescent="0.25">
      <c r="A1476" s="9" t="s">
        <v>111</v>
      </c>
      <c r="B1476" s="9" t="s">
        <v>349</v>
      </c>
      <c r="C1476" s="91">
        <v>0.25</v>
      </c>
      <c r="D1476" s="74" t="s">
        <v>533</v>
      </c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</row>
    <row r="1477" spans="1:24" ht="13.2" x14ac:dyDescent="0.25">
      <c r="A1477" s="9" t="s">
        <v>111</v>
      </c>
      <c r="B1477" s="9" t="s">
        <v>150</v>
      </c>
      <c r="C1477" s="74" t="s">
        <v>1107</v>
      </c>
      <c r="D1477" s="74" t="s">
        <v>533</v>
      </c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</row>
    <row r="1478" spans="1:24" ht="13.2" x14ac:dyDescent="0.25">
      <c r="A1478" s="9" t="s">
        <v>111</v>
      </c>
      <c r="B1478" s="9" t="s">
        <v>351</v>
      </c>
      <c r="C1478" s="74" t="s">
        <v>315</v>
      </c>
      <c r="D1478" s="74" t="s">
        <v>535</v>
      </c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</row>
    <row r="1479" spans="1:24" ht="13.2" x14ac:dyDescent="0.25">
      <c r="A1479" s="9" t="s">
        <v>111</v>
      </c>
      <c r="B1479" s="9" t="s">
        <v>152</v>
      </c>
      <c r="C1479" s="74" t="s">
        <v>315</v>
      </c>
      <c r="D1479" s="74" t="s">
        <v>535</v>
      </c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</row>
    <row r="1480" spans="1:24" ht="13.2" x14ac:dyDescent="0.25">
      <c r="A1480" s="9" t="s">
        <v>111</v>
      </c>
      <c r="B1480" s="9" t="s">
        <v>78</v>
      </c>
      <c r="C1480" s="74">
        <v>2025</v>
      </c>
      <c r="D1480" s="74" t="s">
        <v>533</v>
      </c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</row>
    <row r="1481" spans="1:24" ht="13.2" x14ac:dyDescent="0.25">
      <c r="A1481" s="9" t="s">
        <v>111</v>
      </c>
      <c r="B1481" s="9" t="s">
        <v>80</v>
      </c>
      <c r="C1481" s="74">
        <v>2030</v>
      </c>
      <c r="D1481" s="74" t="s">
        <v>533</v>
      </c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</row>
    <row r="1482" spans="1:24" ht="13.2" x14ac:dyDescent="0.25">
      <c r="A1482" s="9" t="s">
        <v>111</v>
      </c>
      <c r="B1482" s="9" t="s">
        <v>82</v>
      </c>
      <c r="C1482" s="74" t="s">
        <v>1108</v>
      </c>
      <c r="D1482" s="74" t="s">
        <v>535</v>
      </c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</row>
    <row r="1483" spans="1:24" ht="13.2" x14ac:dyDescent="0.25">
      <c r="A1483" s="9" t="s">
        <v>113</v>
      </c>
      <c r="B1483" s="9" t="s">
        <v>2</v>
      </c>
      <c r="C1483" s="74" t="s">
        <v>1109</v>
      </c>
      <c r="D1483" s="74" t="s">
        <v>533</v>
      </c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</row>
    <row r="1484" spans="1:24" ht="13.2" x14ac:dyDescent="0.25">
      <c r="A1484" s="9" t="s">
        <v>113</v>
      </c>
      <c r="B1484" s="9" t="s">
        <v>4</v>
      </c>
      <c r="C1484" s="74" t="s">
        <v>315</v>
      </c>
      <c r="D1484" s="74" t="s">
        <v>535</v>
      </c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</row>
    <row r="1485" spans="1:24" ht="13.2" x14ac:dyDescent="0.25">
      <c r="A1485" s="9" t="s">
        <v>113</v>
      </c>
      <c r="B1485" s="9" t="s">
        <v>6</v>
      </c>
      <c r="C1485" s="74" t="s">
        <v>315</v>
      </c>
      <c r="D1485" s="74" t="s">
        <v>535</v>
      </c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</row>
    <row r="1486" spans="1:24" ht="13.2" x14ac:dyDescent="0.25">
      <c r="A1486" s="9" t="s">
        <v>113</v>
      </c>
      <c r="B1486" s="9" t="s">
        <v>8</v>
      </c>
      <c r="C1486" s="91">
        <v>1</v>
      </c>
      <c r="D1486" s="74" t="s">
        <v>533</v>
      </c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</row>
    <row r="1487" spans="1:24" ht="13.2" x14ac:dyDescent="0.25">
      <c r="A1487" s="9" t="s">
        <v>113</v>
      </c>
      <c r="B1487" s="9" t="s">
        <v>10</v>
      </c>
      <c r="C1487" s="74" t="s">
        <v>315</v>
      </c>
      <c r="D1487" s="74" t="s">
        <v>535</v>
      </c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</row>
    <row r="1488" spans="1:24" ht="13.2" x14ac:dyDescent="0.25">
      <c r="A1488" s="9" t="s">
        <v>113</v>
      </c>
      <c r="B1488" s="9" t="s">
        <v>12</v>
      </c>
      <c r="C1488" s="74" t="s">
        <v>315</v>
      </c>
      <c r="D1488" s="74" t="s">
        <v>535</v>
      </c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</row>
    <row r="1489" spans="1:24" ht="13.2" x14ac:dyDescent="0.25">
      <c r="A1489" s="9" t="s">
        <v>113</v>
      </c>
      <c r="B1489" s="9" t="s">
        <v>14</v>
      </c>
      <c r="C1489" s="74" t="s">
        <v>1110</v>
      </c>
      <c r="D1489" s="74" t="s">
        <v>537</v>
      </c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</row>
    <row r="1490" spans="1:24" ht="13.2" x14ac:dyDescent="0.25">
      <c r="A1490" s="9" t="s">
        <v>113</v>
      </c>
      <c r="B1490" s="9" t="s">
        <v>16</v>
      </c>
      <c r="C1490" s="74" t="s">
        <v>1111</v>
      </c>
      <c r="D1490" s="74" t="s">
        <v>533</v>
      </c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</row>
    <row r="1491" spans="1:24" ht="13.2" x14ac:dyDescent="0.25">
      <c r="A1491" s="9" t="s">
        <v>113</v>
      </c>
      <c r="B1491" s="9" t="s">
        <v>18</v>
      </c>
      <c r="C1491" s="74" t="s">
        <v>1112</v>
      </c>
      <c r="D1491" s="74" t="s">
        <v>533</v>
      </c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</row>
    <row r="1492" spans="1:24" ht="13.2" x14ac:dyDescent="0.25">
      <c r="A1492" s="9" t="s">
        <v>113</v>
      </c>
      <c r="B1492" s="9" t="s">
        <v>20</v>
      </c>
      <c r="C1492" s="74" t="s">
        <v>1113</v>
      </c>
      <c r="D1492" s="74" t="s">
        <v>533</v>
      </c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</row>
    <row r="1493" spans="1:24" ht="13.2" x14ac:dyDescent="0.25">
      <c r="A1493" s="9" t="s">
        <v>113</v>
      </c>
      <c r="B1493" s="9" t="s">
        <v>22</v>
      </c>
      <c r="C1493" s="74" t="s">
        <v>1114</v>
      </c>
      <c r="D1493" s="74" t="s">
        <v>533</v>
      </c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</row>
    <row r="1494" spans="1:24" ht="13.2" x14ac:dyDescent="0.25">
      <c r="A1494" s="9" t="s">
        <v>113</v>
      </c>
      <c r="B1494" s="9" t="s">
        <v>24</v>
      </c>
      <c r="C1494" s="74" t="s">
        <v>1115</v>
      </c>
      <c r="D1494" s="74" t="s">
        <v>533</v>
      </c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</row>
    <row r="1495" spans="1:24" ht="13.2" x14ac:dyDescent="0.25">
      <c r="A1495" s="9" t="s">
        <v>113</v>
      </c>
      <c r="B1495" s="9" t="s">
        <v>26</v>
      </c>
      <c r="C1495" s="74" t="s">
        <v>1116</v>
      </c>
      <c r="D1495" s="74" t="s">
        <v>533</v>
      </c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</row>
    <row r="1496" spans="1:24" ht="13.2" x14ac:dyDescent="0.25">
      <c r="A1496" s="9" t="s">
        <v>113</v>
      </c>
      <c r="B1496" s="9" t="s">
        <v>28</v>
      </c>
      <c r="C1496" s="74" t="s">
        <v>315</v>
      </c>
      <c r="D1496" s="74" t="s">
        <v>535</v>
      </c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</row>
    <row r="1497" spans="1:24" ht="13.2" x14ac:dyDescent="0.25">
      <c r="A1497" s="9" t="s">
        <v>113</v>
      </c>
      <c r="B1497" s="9" t="s">
        <v>30</v>
      </c>
      <c r="C1497" s="74" t="s">
        <v>1117</v>
      </c>
      <c r="D1497" s="74" t="s">
        <v>533</v>
      </c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</row>
    <row r="1498" spans="1:24" ht="13.2" x14ac:dyDescent="0.25">
      <c r="A1498" s="9" t="s">
        <v>113</v>
      </c>
      <c r="B1498" s="9" t="s">
        <v>32</v>
      </c>
      <c r="C1498" s="74" t="s">
        <v>1118</v>
      </c>
      <c r="D1498" s="74" t="s">
        <v>533</v>
      </c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</row>
    <row r="1499" spans="1:24" ht="13.2" x14ac:dyDescent="0.25">
      <c r="A1499" s="9" t="s">
        <v>113</v>
      </c>
      <c r="B1499" s="9" t="s">
        <v>34</v>
      </c>
      <c r="C1499" s="74" t="s">
        <v>1119</v>
      </c>
      <c r="D1499" s="74" t="s">
        <v>533</v>
      </c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</row>
    <row r="1500" spans="1:24" ht="13.2" x14ac:dyDescent="0.25">
      <c r="A1500" s="9" t="s">
        <v>113</v>
      </c>
      <c r="B1500" s="9" t="s">
        <v>36</v>
      </c>
      <c r="C1500" s="74" t="s">
        <v>356</v>
      </c>
      <c r="D1500" s="74" t="s">
        <v>535</v>
      </c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</row>
    <row r="1501" spans="1:24" ht="13.2" x14ac:dyDescent="0.25">
      <c r="A1501" s="9" t="s">
        <v>113</v>
      </c>
      <c r="B1501" s="9" t="s">
        <v>38</v>
      </c>
      <c r="C1501" s="74" t="s">
        <v>1120</v>
      </c>
      <c r="D1501" s="74" t="s">
        <v>537</v>
      </c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</row>
    <row r="1502" spans="1:24" ht="13.2" x14ac:dyDescent="0.25">
      <c r="A1502" s="9" t="s">
        <v>113</v>
      </c>
      <c r="B1502" s="9" t="s">
        <v>40</v>
      </c>
      <c r="C1502" s="74" t="s">
        <v>1121</v>
      </c>
      <c r="D1502" s="74" t="s">
        <v>533</v>
      </c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</row>
    <row r="1503" spans="1:24" ht="13.2" x14ac:dyDescent="0.25">
      <c r="A1503" s="9" t="s">
        <v>113</v>
      </c>
      <c r="B1503" s="9" t="s">
        <v>42</v>
      </c>
      <c r="C1503" s="93" t="s">
        <v>1122</v>
      </c>
      <c r="D1503" s="74" t="s">
        <v>533</v>
      </c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</row>
    <row r="1504" spans="1:24" ht="13.2" x14ac:dyDescent="0.25">
      <c r="A1504" s="9" t="s">
        <v>113</v>
      </c>
      <c r="B1504" s="9" t="s">
        <v>44</v>
      </c>
      <c r="C1504" s="93" t="s">
        <v>1123</v>
      </c>
      <c r="D1504" s="74" t="s">
        <v>533</v>
      </c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</row>
    <row r="1505" spans="1:24" ht="13.2" x14ac:dyDescent="0.25">
      <c r="A1505" s="9" t="s">
        <v>113</v>
      </c>
      <c r="B1505" s="9" t="s">
        <v>46</v>
      </c>
      <c r="C1505" s="91">
        <v>0.16</v>
      </c>
      <c r="D1505" s="74" t="s">
        <v>533</v>
      </c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</row>
    <row r="1506" spans="1:24" ht="13.2" x14ac:dyDescent="0.25">
      <c r="A1506" s="9" t="s">
        <v>113</v>
      </c>
      <c r="B1506" s="9" t="s">
        <v>48</v>
      </c>
      <c r="C1506" s="74" t="s">
        <v>1124</v>
      </c>
      <c r="D1506" s="74" t="s">
        <v>533</v>
      </c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</row>
    <row r="1507" spans="1:24" ht="13.2" x14ac:dyDescent="0.25">
      <c r="A1507" s="9" t="s">
        <v>113</v>
      </c>
      <c r="B1507" s="9" t="s">
        <v>124</v>
      </c>
      <c r="C1507" s="74" t="s">
        <v>1125</v>
      </c>
      <c r="D1507" s="74" t="s">
        <v>533</v>
      </c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</row>
    <row r="1508" spans="1:24" ht="13.2" x14ac:dyDescent="0.25">
      <c r="A1508" s="9" t="s">
        <v>113</v>
      </c>
      <c r="B1508" s="9" t="s">
        <v>126</v>
      </c>
      <c r="C1508" s="74" t="s">
        <v>1126</v>
      </c>
      <c r="D1508" s="74" t="s">
        <v>537</v>
      </c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</row>
    <row r="1509" spans="1:24" ht="13.2" x14ac:dyDescent="0.25">
      <c r="A1509" s="9" t="s">
        <v>113</v>
      </c>
      <c r="B1509" s="9" t="s">
        <v>130</v>
      </c>
      <c r="C1509" s="74" t="s">
        <v>1127</v>
      </c>
      <c r="D1509" s="74" t="s">
        <v>535</v>
      </c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</row>
    <row r="1510" spans="1:24" ht="13.2" x14ac:dyDescent="0.25">
      <c r="A1510" s="9" t="s">
        <v>113</v>
      </c>
      <c r="B1510" s="9" t="s">
        <v>131</v>
      </c>
      <c r="C1510" s="74" t="s">
        <v>1128</v>
      </c>
      <c r="D1510" s="74" t="s">
        <v>535</v>
      </c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</row>
    <row r="1511" spans="1:24" ht="13.2" x14ac:dyDescent="0.25">
      <c r="A1511" s="9" t="s">
        <v>113</v>
      </c>
      <c r="B1511" s="9" t="s">
        <v>132</v>
      </c>
      <c r="C1511" s="74" t="s">
        <v>1129</v>
      </c>
      <c r="D1511" s="74" t="s">
        <v>533</v>
      </c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</row>
    <row r="1512" spans="1:24" ht="13.2" x14ac:dyDescent="0.25">
      <c r="A1512" s="9" t="s">
        <v>113</v>
      </c>
      <c r="B1512" s="9" t="s">
        <v>50</v>
      </c>
      <c r="C1512" s="74" t="s">
        <v>1130</v>
      </c>
      <c r="D1512" s="74" t="s">
        <v>533</v>
      </c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</row>
    <row r="1513" spans="1:24" ht="13.2" x14ac:dyDescent="0.25">
      <c r="A1513" s="9" t="s">
        <v>113</v>
      </c>
      <c r="B1513" s="9" t="s">
        <v>52</v>
      </c>
      <c r="C1513" s="74" t="s">
        <v>1131</v>
      </c>
      <c r="D1513" s="74" t="s">
        <v>533</v>
      </c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</row>
    <row r="1514" spans="1:24" ht="13.2" x14ac:dyDescent="0.25">
      <c r="A1514" s="9" t="s">
        <v>113</v>
      </c>
      <c r="B1514" s="9" t="s">
        <v>54</v>
      </c>
      <c r="C1514" s="74" t="s">
        <v>1132</v>
      </c>
      <c r="D1514" s="74" t="s">
        <v>533</v>
      </c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</row>
    <row r="1515" spans="1:24" ht="13.2" x14ac:dyDescent="0.25">
      <c r="A1515" s="9" t="s">
        <v>113</v>
      </c>
      <c r="B1515" s="9" t="s">
        <v>134</v>
      </c>
      <c r="C1515" s="74" t="s">
        <v>1103</v>
      </c>
      <c r="D1515" s="74" t="s">
        <v>537</v>
      </c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</row>
    <row r="1516" spans="1:24" ht="13.2" x14ac:dyDescent="0.25">
      <c r="A1516" s="9" t="s">
        <v>113</v>
      </c>
      <c r="B1516" s="9" t="s">
        <v>135</v>
      </c>
      <c r="C1516" s="74" t="s">
        <v>1103</v>
      </c>
      <c r="D1516" s="74" t="s">
        <v>537</v>
      </c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</row>
    <row r="1517" spans="1:24" ht="13.2" x14ac:dyDescent="0.25">
      <c r="A1517" s="9" t="s">
        <v>113</v>
      </c>
      <c r="B1517" s="9" t="s">
        <v>136</v>
      </c>
      <c r="C1517" s="74" t="s">
        <v>1133</v>
      </c>
      <c r="D1517" s="74" t="s">
        <v>537</v>
      </c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</row>
    <row r="1518" spans="1:24" ht="13.2" x14ac:dyDescent="0.25">
      <c r="A1518" s="9" t="s">
        <v>113</v>
      </c>
      <c r="B1518" s="9" t="s">
        <v>56</v>
      </c>
      <c r="C1518" s="74" t="s">
        <v>315</v>
      </c>
      <c r="D1518" s="74" t="s">
        <v>535</v>
      </c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</row>
    <row r="1519" spans="1:24" ht="13.2" x14ac:dyDescent="0.25">
      <c r="A1519" s="9" t="s">
        <v>113</v>
      </c>
      <c r="B1519" s="9" t="s">
        <v>337</v>
      </c>
      <c r="C1519" s="74" t="s">
        <v>1134</v>
      </c>
      <c r="D1519" s="74" t="s">
        <v>537</v>
      </c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</row>
    <row r="1520" spans="1:24" ht="13.2" x14ac:dyDescent="0.25">
      <c r="A1520" s="9" t="s">
        <v>113</v>
      </c>
      <c r="B1520" s="9" t="s">
        <v>470</v>
      </c>
      <c r="C1520" s="74" t="s">
        <v>315</v>
      </c>
      <c r="D1520" s="74" t="s">
        <v>535</v>
      </c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</row>
    <row r="1521" spans="1:24" ht="13.2" x14ac:dyDescent="0.25">
      <c r="A1521" s="9" t="s">
        <v>113</v>
      </c>
      <c r="B1521" s="9" t="s">
        <v>472</v>
      </c>
      <c r="C1521" s="74" t="s">
        <v>1135</v>
      </c>
      <c r="D1521" s="74" t="s">
        <v>537</v>
      </c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</row>
    <row r="1522" spans="1:24" ht="13.2" x14ac:dyDescent="0.25">
      <c r="A1522" s="9" t="s">
        <v>113</v>
      </c>
      <c r="B1522" s="9" t="s">
        <v>66</v>
      </c>
      <c r="C1522" s="74" t="s">
        <v>1136</v>
      </c>
      <c r="D1522" s="74" t="s">
        <v>533</v>
      </c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</row>
    <row r="1523" spans="1:24" ht="13.2" x14ac:dyDescent="0.25">
      <c r="A1523" s="9" t="s">
        <v>113</v>
      </c>
      <c r="B1523" s="9" t="s">
        <v>68</v>
      </c>
      <c r="C1523" s="74" t="s">
        <v>1137</v>
      </c>
      <c r="D1523" s="74" t="s">
        <v>533</v>
      </c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</row>
    <row r="1524" spans="1:24" ht="13.2" x14ac:dyDescent="0.25">
      <c r="A1524" s="9" t="s">
        <v>113</v>
      </c>
      <c r="B1524" s="9" t="s">
        <v>341</v>
      </c>
      <c r="C1524" s="74" t="s">
        <v>315</v>
      </c>
      <c r="D1524" s="74" t="s">
        <v>535</v>
      </c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</row>
    <row r="1525" spans="1:24" ht="13.2" x14ac:dyDescent="0.25">
      <c r="A1525" s="9" t="s">
        <v>113</v>
      </c>
      <c r="B1525" s="9" t="s">
        <v>72</v>
      </c>
      <c r="C1525" s="74" t="s">
        <v>315</v>
      </c>
      <c r="D1525" s="74" t="s">
        <v>535</v>
      </c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</row>
    <row r="1526" spans="1:24" ht="13.2" x14ac:dyDescent="0.25">
      <c r="A1526" s="9" t="s">
        <v>113</v>
      </c>
      <c r="B1526" s="9" t="s">
        <v>342</v>
      </c>
      <c r="C1526" s="74" t="s">
        <v>1138</v>
      </c>
      <c r="D1526" s="74" t="s">
        <v>533</v>
      </c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</row>
    <row r="1527" spans="1:24" ht="13.2" x14ac:dyDescent="0.25">
      <c r="A1527" s="9" t="s">
        <v>113</v>
      </c>
      <c r="B1527" s="9" t="s">
        <v>343</v>
      </c>
      <c r="C1527" s="74" t="s">
        <v>315</v>
      </c>
      <c r="D1527" s="74" t="s">
        <v>535</v>
      </c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</row>
    <row r="1528" spans="1:24" ht="13.2" x14ac:dyDescent="0.25">
      <c r="A1528" s="9" t="s">
        <v>113</v>
      </c>
      <c r="B1528" s="9" t="s">
        <v>344</v>
      </c>
      <c r="C1528" s="74" t="s">
        <v>315</v>
      </c>
      <c r="D1528" s="74" t="s">
        <v>535</v>
      </c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</row>
    <row r="1529" spans="1:24" ht="13.2" x14ac:dyDescent="0.25">
      <c r="A1529" s="9" t="s">
        <v>113</v>
      </c>
      <c r="B1529" s="9" t="s">
        <v>345</v>
      </c>
      <c r="C1529" s="74" t="s">
        <v>315</v>
      </c>
      <c r="D1529" s="74" t="s">
        <v>535</v>
      </c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</row>
    <row r="1530" spans="1:24" ht="13.2" x14ac:dyDescent="0.25">
      <c r="A1530" s="9" t="s">
        <v>113</v>
      </c>
      <c r="B1530" s="9" t="s">
        <v>346</v>
      </c>
      <c r="C1530" s="74" t="s">
        <v>315</v>
      </c>
      <c r="D1530" s="74" t="s">
        <v>535</v>
      </c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</row>
    <row r="1531" spans="1:24" ht="13.2" x14ac:dyDescent="0.25">
      <c r="A1531" s="9" t="s">
        <v>113</v>
      </c>
      <c r="B1531" s="9" t="s">
        <v>347</v>
      </c>
      <c r="C1531" s="74" t="s">
        <v>1139</v>
      </c>
      <c r="D1531" s="74" t="s">
        <v>537</v>
      </c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</row>
    <row r="1532" spans="1:24" ht="13.2" x14ac:dyDescent="0.25">
      <c r="A1532" s="9" t="s">
        <v>113</v>
      </c>
      <c r="B1532" s="9" t="s">
        <v>348</v>
      </c>
      <c r="C1532" s="74" t="s">
        <v>315</v>
      </c>
      <c r="D1532" s="74" t="s">
        <v>535</v>
      </c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</row>
    <row r="1533" spans="1:24" ht="13.2" x14ac:dyDescent="0.25">
      <c r="A1533" s="9" t="s">
        <v>113</v>
      </c>
      <c r="B1533" s="9" t="s">
        <v>349</v>
      </c>
      <c r="C1533" s="91">
        <v>0.8</v>
      </c>
      <c r="D1533" s="74" t="s">
        <v>533</v>
      </c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</row>
    <row r="1534" spans="1:24" ht="13.2" x14ac:dyDescent="0.25">
      <c r="A1534" s="9" t="s">
        <v>113</v>
      </c>
      <c r="B1534" s="9" t="s">
        <v>150</v>
      </c>
      <c r="C1534" s="74" t="s">
        <v>1140</v>
      </c>
      <c r="D1534" s="74" t="s">
        <v>533</v>
      </c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</row>
    <row r="1535" spans="1:24" ht="13.2" x14ac:dyDescent="0.25">
      <c r="A1535" s="9" t="s">
        <v>113</v>
      </c>
      <c r="B1535" s="9" t="s">
        <v>351</v>
      </c>
      <c r="C1535" s="74" t="s">
        <v>1141</v>
      </c>
      <c r="D1535" s="74" t="s">
        <v>537</v>
      </c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</row>
    <row r="1536" spans="1:24" ht="13.2" x14ac:dyDescent="0.25">
      <c r="A1536" s="9" t="s">
        <v>113</v>
      </c>
      <c r="B1536" s="9" t="s">
        <v>152</v>
      </c>
      <c r="C1536" s="74" t="s">
        <v>315</v>
      </c>
      <c r="D1536" s="74" t="s">
        <v>535</v>
      </c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</row>
    <row r="1537" spans="1:24" ht="13.2" x14ac:dyDescent="0.25">
      <c r="A1537" s="9" t="s">
        <v>113</v>
      </c>
      <c r="B1537" s="9" t="s">
        <v>78</v>
      </c>
      <c r="C1537" s="74">
        <v>2025</v>
      </c>
      <c r="D1537" s="74" t="s">
        <v>533</v>
      </c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</row>
    <row r="1538" spans="1:24" ht="13.2" x14ac:dyDescent="0.25">
      <c r="A1538" s="9" t="s">
        <v>113</v>
      </c>
      <c r="B1538" s="9" t="s">
        <v>80</v>
      </c>
      <c r="C1538" s="74">
        <v>2030</v>
      </c>
      <c r="D1538" s="74" t="s">
        <v>533</v>
      </c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</row>
    <row r="1539" spans="1:24" ht="13.2" x14ac:dyDescent="0.25">
      <c r="A1539" s="9" t="s">
        <v>113</v>
      </c>
      <c r="B1539" s="9" t="s">
        <v>82</v>
      </c>
      <c r="C1539" s="74">
        <v>2030</v>
      </c>
      <c r="D1539" s="74" t="s">
        <v>533</v>
      </c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</row>
    <row r="1540" spans="1:24" ht="13.2" x14ac:dyDescent="0.25">
      <c r="A1540" s="9" t="s">
        <v>112</v>
      </c>
      <c r="B1540" s="9" t="s">
        <v>2</v>
      </c>
      <c r="C1540" s="74" t="s">
        <v>1142</v>
      </c>
      <c r="D1540" s="74" t="s">
        <v>533</v>
      </c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</row>
    <row r="1541" spans="1:24" ht="13.2" x14ac:dyDescent="0.25">
      <c r="A1541" s="9" t="s">
        <v>112</v>
      </c>
      <c r="B1541" s="9" t="s">
        <v>4</v>
      </c>
      <c r="C1541" s="74" t="s">
        <v>1143</v>
      </c>
      <c r="D1541" s="74" t="s">
        <v>533</v>
      </c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</row>
    <row r="1542" spans="1:24" ht="13.2" x14ac:dyDescent="0.25">
      <c r="A1542" s="9" t="s">
        <v>112</v>
      </c>
      <c r="B1542" s="9" t="s">
        <v>6</v>
      </c>
      <c r="C1542" s="74" t="s">
        <v>1144</v>
      </c>
      <c r="D1542" s="74" t="s">
        <v>533</v>
      </c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</row>
    <row r="1543" spans="1:24" ht="13.2" x14ac:dyDescent="0.25">
      <c r="A1543" s="9" t="s">
        <v>112</v>
      </c>
      <c r="B1543" s="9" t="s">
        <v>8</v>
      </c>
      <c r="C1543" s="74" t="s">
        <v>1145</v>
      </c>
      <c r="D1543" s="74" t="s">
        <v>533</v>
      </c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</row>
    <row r="1544" spans="1:24" ht="13.2" x14ac:dyDescent="0.25">
      <c r="A1544" s="9" t="s">
        <v>112</v>
      </c>
      <c r="B1544" s="9" t="s">
        <v>10</v>
      </c>
      <c r="C1544" s="74" t="s">
        <v>315</v>
      </c>
      <c r="D1544" s="74" t="s">
        <v>535</v>
      </c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</row>
    <row r="1545" spans="1:24" ht="13.2" x14ac:dyDescent="0.25">
      <c r="A1545" s="9" t="s">
        <v>112</v>
      </c>
      <c r="B1545" s="9" t="s">
        <v>12</v>
      </c>
      <c r="C1545" s="74" t="s">
        <v>315</v>
      </c>
      <c r="D1545" s="74" t="s">
        <v>535</v>
      </c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</row>
    <row r="1546" spans="1:24" ht="13.2" x14ac:dyDescent="0.25">
      <c r="A1546" s="9" t="s">
        <v>112</v>
      </c>
      <c r="B1546" s="9" t="s">
        <v>14</v>
      </c>
      <c r="C1546" s="74" t="s">
        <v>1146</v>
      </c>
      <c r="D1546" s="74" t="s">
        <v>537</v>
      </c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</row>
    <row r="1547" spans="1:24" ht="13.2" x14ac:dyDescent="0.25">
      <c r="A1547" s="9" t="s">
        <v>112</v>
      </c>
      <c r="B1547" s="9" t="s">
        <v>16</v>
      </c>
      <c r="C1547" s="74" t="s">
        <v>1147</v>
      </c>
      <c r="D1547" s="74" t="s">
        <v>533</v>
      </c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</row>
    <row r="1548" spans="1:24" ht="13.2" x14ac:dyDescent="0.25">
      <c r="A1548" s="9" t="s">
        <v>112</v>
      </c>
      <c r="B1548" s="9" t="s">
        <v>18</v>
      </c>
      <c r="C1548" s="74" t="s">
        <v>815</v>
      </c>
      <c r="D1548" s="74" t="s">
        <v>535</v>
      </c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</row>
    <row r="1549" spans="1:24" ht="13.2" x14ac:dyDescent="0.25">
      <c r="A1549" s="9" t="s">
        <v>112</v>
      </c>
      <c r="B1549" s="9" t="s">
        <v>20</v>
      </c>
      <c r="C1549" s="74" t="s">
        <v>1148</v>
      </c>
      <c r="D1549" s="74" t="s">
        <v>533</v>
      </c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</row>
    <row r="1550" spans="1:24" ht="13.2" x14ac:dyDescent="0.25">
      <c r="A1550" s="9" t="s">
        <v>112</v>
      </c>
      <c r="B1550" s="9" t="s">
        <v>22</v>
      </c>
      <c r="C1550" s="74" t="s">
        <v>1149</v>
      </c>
      <c r="D1550" s="74" t="s">
        <v>533</v>
      </c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</row>
    <row r="1551" spans="1:24" ht="13.2" x14ac:dyDescent="0.25">
      <c r="A1551" s="9" t="s">
        <v>112</v>
      </c>
      <c r="B1551" s="9" t="s">
        <v>24</v>
      </c>
      <c r="C1551" s="74" t="s">
        <v>1150</v>
      </c>
      <c r="D1551" s="74" t="s">
        <v>535</v>
      </c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</row>
    <row r="1552" spans="1:24" ht="13.2" x14ac:dyDescent="0.25">
      <c r="A1552" s="9" t="s">
        <v>112</v>
      </c>
      <c r="B1552" s="9" t="s">
        <v>26</v>
      </c>
      <c r="C1552" s="74" t="s">
        <v>1151</v>
      </c>
      <c r="D1552" s="74" t="s">
        <v>533</v>
      </c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</row>
    <row r="1553" spans="1:24" ht="13.2" x14ac:dyDescent="0.25">
      <c r="A1553" s="9" t="s">
        <v>112</v>
      </c>
      <c r="B1553" s="9" t="s">
        <v>28</v>
      </c>
      <c r="C1553" s="74" t="s">
        <v>1152</v>
      </c>
      <c r="D1553" s="74" t="s">
        <v>533</v>
      </c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</row>
    <row r="1554" spans="1:24" ht="13.2" x14ac:dyDescent="0.25">
      <c r="A1554" s="9" t="s">
        <v>112</v>
      </c>
      <c r="B1554" s="9" t="s">
        <v>30</v>
      </c>
      <c r="C1554" s="74" t="s">
        <v>1153</v>
      </c>
      <c r="D1554" s="74" t="s">
        <v>533</v>
      </c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</row>
    <row r="1555" spans="1:24" ht="13.2" x14ac:dyDescent="0.25">
      <c r="A1555" s="9" t="s">
        <v>112</v>
      </c>
      <c r="B1555" s="9" t="s">
        <v>32</v>
      </c>
      <c r="C1555" s="74" t="s">
        <v>993</v>
      </c>
      <c r="D1555" s="74" t="s">
        <v>535</v>
      </c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</row>
    <row r="1556" spans="1:24" ht="13.2" x14ac:dyDescent="0.25">
      <c r="A1556" s="9" t="s">
        <v>112</v>
      </c>
      <c r="B1556" s="9" t="s">
        <v>34</v>
      </c>
      <c r="C1556" s="74" t="s">
        <v>1154</v>
      </c>
      <c r="D1556" s="74" t="s">
        <v>537</v>
      </c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</row>
    <row r="1557" spans="1:24" ht="13.2" x14ac:dyDescent="0.25">
      <c r="A1557" s="9" t="s">
        <v>112</v>
      </c>
      <c r="B1557" s="9" t="s">
        <v>36</v>
      </c>
      <c r="C1557" s="74" t="s">
        <v>1155</v>
      </c>
      <c r="D1557" s="74" t="s">
        <v>533</v>
      </c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</row>
    <row r="1558" spans="1:24" ht="13.2" x14ac:dyDescent="0.25">
      <c r="A1558" s="9" t="s">
        <v>112</v>
      </c>
      <c r="B1558" s="9" t="s">
        <v>38</v>
      </c>
      <c r="C1558" s="74" t="s">
        <v>315</v>
      </c>
      <c r="D1558" s="74" t="s">
        <v>535</v>
      </c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</row>
    <row r="1559" spans="1:24" ht="13.2" x14ac:dyDescent="0.25">
      <c r="A1559" s="9" t="s">
        <v>112</v>
      </c>
      <c r="B1559" s="9" t="s">
        <v>40</v>
      </c>
      <c r="C1559" s="74" t="s">
        <v>1156</v>
      </c>
      <c r="D1559" s="74" t="s">
        <v>533</v>
      </c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</row>
    <row r="1560" spans="1:24" ht="13.2" x14ac:dyDescent="0.25">
      <c r="A1560" s="9" t="s">
        <v>112</v>
      </c>
      <c r="B1560" s="9" t="s">
        <v>42</v>
      </c>
      <c r="C1560" s="74" t="s">
        <v>1157</v>
      </c>
      <c r="D1560" s="74" t="s">
        <v>537</v>
      </c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</row>
    <row r="1561" spans="1:24" ht="13.2" x14ac:dyDescent="0.25">
      <c r="A1561" s="9" t="s">
        <v>112</v>
      </c>
      <c r="B1561" s="9" t="s">
        <v>44</v>
      </c>
      <c r="C1561" s="74" t="s">
        <v>993</v>
      </c>
      <c r="D1561" s="74" t="s">
        <v>535</v>
      </c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</row>
    <row r="1562" spans="1:24" ht="13.2" x14ac:dyDescent="0.25">
      <c r="A1562" s="9" t="s">
        <v>112</v>
      </c>
      <c r="B1562" s="9" t="s">
        <v>46</v>
      </c>
      <c r="C1562" s="74" t="s">
        <v>1158</v>
      </c>
      <c r="D1562" s="74" t="s">
        <v>533</v>
      </c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</row>
    <row r="1563" spans="1:24" ht="13.2" x14ac:dyDescent="0.25">
      <c r="A1563" s="9" t="s">
        <v>112</v>
      </c>
      <c r="B1563" s="9" t="s">
        <v>48</v>
      </c>
      <c r="C1563" s="74" t="s">
        <v>1159</v>
      </c>
      <c r="D1563" s="74" t="s">
        <v>537</v>
      </c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</row>
    <row r="1564" spans="1:24" ht="13.2" x14ac:dyDescent="0.25">
      <c r="A1564" s="9" t="s">
        <v>112</v>
      </c>
      <c r="B1564" s="9" t="s">
        <v>124</v>
      </c>
      <c r="C1564" s="74" t="s">
        <v>1160</v>
      </c>
      <c r="D1564" s="74" t="s">
        <v>533</v>
      </c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</row>
    <row r="1565" spans="1:24" ht="13.2" x14ac:dyDescent="0.25">
      <c r="A1565" s="9" t="s">
        <v>112</v>
      </c>
      <c r="B1565" s="9" t="s">
        <v>126</v>
      </c>
      <c r="C1565" s="74" t="s">
        <v>1161</v>
      </c>
      <c r="D1565" s="74" t="s">
        <v>537</v>
      </c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</row>
    <row r="1566" spans="1:24" ht="13.2" x14ac:dyDescent="0.25">
      <c r="A1566" s="9" t="s">
        <v>112</v>
      </c>
      <c r="B1566" s="9" t="s">
        <v>130</v>
      </c>
      <c r="C1566" s="74" t="s">
        <v>1162</v>
      </c>
      <c r="D1566" s="74" t="s">
        <v>537</v>
      </c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</row>
    <row r="1567" spans="1:24" ht="13.2" x14ac:dyDescent="0.25">
      <c r="A1567" s="9" t="s">
        <v>112</v>
      </c>
      <c r="B1567" s="9" t="s">
        <v>131</v>
      </c>
      <c r="C1567" s="74" t="s">
        <v>315</v>
      </c>
      <c r="D1567" s="74" t="s">
        <v>535</v>
      </c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</row>
    <row r="1568" spans="1:24" ht="13.2" x14ac:dyDescent="0.25">
      <c r="A1568" s="9" t="s">
        <v>112</v>
      </c>
      <c r="B1568" s="9" t="s">
        <v>132</v>
      </c>
      <c r="C1568" s="74" t="s">
        <v>356</v>
      </c>
      <c r="D1568" s="74" t="s">
        <v>535</v>
      </c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</row>
    <row r="1569" spans="1:24" ht="13.2" x14ac:dyDescent="0.25">
      <c r="A1569" s="9" t="s">
        <v>112</v>
      </c>
      <c r="B1569" s="9" t="s">
        <v>50</v>
      </c>
      <c r="C1569" s="74" t="s">
        <v>1163</v>
      </c>
      <c r="D1569" s="74" t="s">
        <v>533</v>
      </c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</row>
    <row r="1570" spans="1:24" ht="13.2" x14ac:dyDescent="0.25">
      <c r="A1570" s="9" t="s">
        <v>112</v>
      </c>
      <c r="B1570" s="9" t="s">
        <v>52</v>
      </c>
      <c r="C1570" s="74" t="s">
        <v>1164</v>
      </c>
      <c r="D1570" s="74" t="s">
        <v>533</v>
      </c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</row>
    <row r="1571" spans="1:24" ht="13.2" x14ac:dyDescent="0.25">
      <c r="A1571" s="9" t="s">
        <v>112</v>
      </c>
      <c r="B1571" s="9" t="s">
        <v>54</v>
      </c>
      <c r="C1571" s="74" t="s">
        <v>1165</v>
      </c>
      <c r="D1571" s="74" t="s">
        <v>533</v>
      </c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</row>
    <row r="1572" spans="1:24" ht="13.2" x14ac:dyDescent="0.25">
      <c r="A1572" s="9" t="s">
        <v>112</v>
      </c>
      <c r="B1572" s="9" t="s">
        <v>134</v>
      </c>
      <c r="C1572" s="74" t="s">
        <v>1032</v>
      </c>
      <c r="D1572" s="74" t="s">
        <v>537</v>
      </c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</row>
    <row r="1573" spans="1:24" ht="13.2" x14ac:dyDescent="0.25">
      <c r="A1573" s="9" t="s">
        <v>112</v>
      </c>
      <c r="B1573" s="9" t="s">
        <v>135</v>
      </c>
      <c r="C1573" s="74" t="s">
        <v>1133</v>
      </c>
      <c r="D1573" s="74" t="s">
        <v>537</v>
      </c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</row>
    <row r="1574" spans="1:24" ht="13.2" x14ac:dyDescent="0.25">
      <c r="A1574" s="9" t="s">
        <v>112</v>
      </c>
      <c r="B1574" s="9" t="s">
        <v>136</v>
      </c>
      <c r="C1574" s="74" t="s">
        <v>1133</v>
      </c>
      <c r="D1574" s="74" t="s">
        <v>537</v>
      </c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</row>
    <row r="1575" spans="1:24" ht="13.2" x14ac:dyDescent="0.25">
      <c r="A1575" s="9" t="s">
        <v>112</v>
      </c>
      <c r="B1575" s="9" t="s">
        <v>56</v>
      </c>
      <c r="C1575" s="74" t="s">
        <v>1166</v>
      </c>
      <c r="D1575" s="74" t="s">
        <v>533</v>
      </c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</row>
    <row r="1576" spans="1:24" ht="13.2" x14ac:dyDescent="0.25">
      <c r="A1576" s="9" t="s">
        <v>112</v>
      </c>
      <c r="B1576" s="9" t="s">
        <v>337</v>
      </c>
      <c r="C1576" s="74" t="s">
        <v>1167</v>
      </c>
      <c r="D1576" s="74" t="s">
        <v>537</v>
      </c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</row>
    <row r="1577" spans="1:24" ht="13.2" x14ac:dyDescent="0.25">
      <c r="A1577" s="9" t="s">
        <v>112</v>
      </c>
      <c r="B1577" s="9" t="s">
        <v>470</v>
      </c>
      <c r="C1577" s="74" t="s">
        <v>1168</v>
      </c>
      <c r="D1577" s="74" t="s">
        <v>533</v>
      </c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</row>
    <row r="1578" spans="1:24" ht="13.2" x14ac:dyDescent="0.25">
      <c r="A1578" s="9" t="s">
        <v>112</v>
      </c>
      <c r="B1578" s="9" t="s">
        <v>472</v>
      </c>
      <c r="C1578" s="74" t="s">
        <v>315</v>
      </c>
      <c r="D1578" s="74" t="s">
        <v>535</v>
      </c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</row>
    <row r="1579" spans="1:24" ht="13.2" x14ac:dyDescent="0.25">
      <c r="A1579" s="9" t="s">
        <v>112</v>
      </c>
      <c r="B1579" s="9" t="s">
        <v>66</v>
      </c>
      <c r="C1579" s="74" t="s">
        <v>1169</v>
      </c>
      <c r="D1579" s="74" t="s">
        <v>533</v>
      </c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</row>
    <row r="1580" spans="1:24" ht="13.2" x14ac:dyDescent="0.25">
      <c r="A1580" s="9" t="s">
        <v>112</v>
      </c>
      <c r="B1580" s="9" t="s">
        <v>68</v>
      </c>
      <c r="C1580" s="91">
        <v>0.75</v>
      </c>
      <c r="D1580" s="74" t="s">
        <v>533</v>
      </c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</row>
    <row r="1581" spans="1:24" ht="13.2" x14ac:dyDescent="0.25">
      <c r="A1581" s="9" t="s">
        <v>112</v>
      </c>
      <c r="B1581" s="9" t="s">
        <v>341</v>
      </c>
      <c r="C1581" s="74" t="s">
        <v>315</v>
      </c>
      <c r="D1581" s="74" t="s">
        <v>535</v>
      </c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</row>
    <row r="1582" spans="1:24" ht="13.2" x14ac:dyDescent="0.25">
      <c r="A1582" s="9" t="s">
        <v>112</v>
      </c>
      <c r="B1582" s="9" t="s">
        <v>72</v>
      </c>
      <c r="C1582" s="74" t="s">
        <v>315</v>
      </c>
      <c r="D1582" s="74" t="s">
        <v>535</v>
      </c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</row>
    <row r="1583" spans="1:24" ht="13.2" x14ac:dyDescent="0.25">
      <c r="A1583" s="9" t="s">
        <v>112</v>
      </c>
      <c r="B1583" s="9" t="s">
        <v>342</v>
      </c>
      <c r="C1583" s="74" t="s">
        <v>1170</v>
      </c>
      <c r="D1583" s="74" t="s">
        <v>533</v>
      </c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</row>
    <row r="1584" spans="1:24" ht="13.2" x14ac:dyDescent="0.25">
      <c r="A1584" s="9" t="s">
        <v>112</v>
      </c>
      <c r="B1584" s="9" t="s">
        <v>343</v>
      </c>
      <c r="C1584" s="74" t="s">
        <v>315</v>
      </c>
      <c r="D1584" s="74" t="s">
        <v>535</v>
      </c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</row>
    <row r="1585" spans="1:24" ht="13.2" x14ac:dyDescent="0.25">
      <c r="A1585" s="9" t="s">
        <v>112</v>
      </c>
      <c r="B1585" s="9" t="s">
        <v>344</v>
      </c>
      <c r="C1585" s="74" t="s">
        <v>315</v>
      </c>
      <c r="D1585" s="74" t="s">
        <v>535</v>
      </c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</row>
    <row r="1586" spans="1:24" ht="13.2" x14ac:dyDescent="0.25">
      <c r="A1586" s="9" t="s">
        <v>112</v>
      </c>
      <c r="B1586" s="9" t="s">
        <v>345</v>
      </c>
      <c r="C1586" s="74" t="s">
        <v>315</v>
      </c>
      <c r="D1586" s="74" t="s">
        <v>535</v>
      </c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</row>
    <row r="1587" spans="1:24" ht="13.2" x14ac:dyDescent="0.25">
      <c r="A1587" s="9" t="s">
        <v>112</v>
      </c>
      <c r="B1587" s="9" t="s">
        <v>346</v>
      </c>
      <c r="C1587" s="74" t="s">
        <v>315</v>
      </c>
      <c r="D1587" s="74" t="s">
        <v>535</v>
      </c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</row>
    <row r="1588" spans="1:24" ht="13.2" x14ac:dyDescent="0.25">
      <c r="A1588" s="9" t="s">
        <v>112</v>
      </c>
      <c r="B1588" s="9" t="s">
        <v>347</v>
      </c>
      <c r="C1588" s="74" t="s">
        <v>1171</v>
      </c>
      <c r="D1588" s="74" t="s">
        <v>533</v>
      </c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</row>
    <row r="1589" spans="1:24" ht="13.2" x14ac:dyDescent="0.25">
      <c r="A1589" s="9" t="s">
        <v>112</v>
      </c>
      <c r="B1589" s="9" t="s">
        <v>348</v>
      </c>
      <c r="C1589" s="74" t="s">
        <v>315</v>
      </c>
      <c r="D1589" s="74" t="s">
        <v>535</v>
      </c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</row>
    <row r="1590" spans="1:24" ht="13.2" x14ac:dyDescent="0.25">
      <c r="A1590" s="9" t="s">
        <v>112</v>
      </c>
      <c r="B1590" s="9" t="s">
        <v>349</v>
      </c>
      <c r="C1590" s="91">
        <v>0.75</v>
      </c>
      <c r="D1590" s="74" t="s">
        <v>533</v>
      </c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</row>
    <row r="1591" spans="1:24" ht="13.2" x14ac:dyDescent="0.25">
      <c r="A1591" s="9" t="s">
        <v>112</v>
      </c>
      <c r="B1591" s="9" t="s">
        <v>150</v>
      </c>
      <c r="C1591" s="74" t="s">
        <v>1172</v>
      </c>
      <c r="D1591" s="74" t="s">
        <v>533</v>
      </c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</row>
    <row r="1592" spans="1:24" ht="13.2" x14ac:dyDescent="0.25">
      <c r="A1592" s="9" t="s">
        <v>112</v>
      </c>
      <c r="B1592" s="9" t="s">
        <v>351</v>
      </c>
      <c r="C1592" s="74" t="s">
        <v>315</v>
      </c>
      <c r="D1592" s="74" t="s">
        <v>535</v>
      </c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</row>
    <row r="1593" spans="1:24" ht="13.2" x14ac:dyDescent="0.25">
      <c r="A1593" s="9" t="s">
        <v>112</v>
      </c>
      <c r="B1593" s="9" t="s">
        <v>152</v>
      </c>
      <c r="C1593" s="74" t="s">
        <v>315</v>
      </c>
      <c r="D1593" s="74" t="s">
        <v>535</v>
      </c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</row>
    <row r="1594" spans="1:24" ht="13.2" x14ac:dyDescent="0.25">
      <c r="A1594" s="9" t="s">
        <v>112</v>
      </c>
      <c r="B1594" s="9" t="s">
        <v>78</v>
      </c>
      <c r="C1594" s="74">
        <v>2024</v>
      </c>
      <c r="D1594" s="74" t="s">
        <v>533</v>
      </c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</row>
    <row r="1595" spans="1:24" ht="13.2" x14ac:dyDescent="0.25">
      <c r="A1595" s="9" t="s">
        <v>112</v>
      </c>
      <c r="B1595" s="9" t="s">
        <v>80</v>
      </c>
      <c r="C1595" s="74">
        <v>2030</v>
      </c>
      <c r="D1595" s="74" t="s">
        <v>533</v>
      </c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</row>
    <row r="1596" spans="1:24" ht="13.2" x14ac:dyDescent="0.25">
      <c r="A1596" s="9" t="s">
        <v>112</v>
      </c>
      <c r="B1596" s="9" t="s">
        <v>82</v>
      </c>
      <c r="C1596" s="74" t="s">
        <v>1173</v>
      </c>
      <c r="D1596" s="74" t="s">
        <v>537</v>
      </c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</row>
    <row r="1597" spans="1:24" ht="13.2" x14ac:dyDescent="0.25">
      <c r="A1597" s="9" t="s">
        <v>114</v>
      </c>
      <c r="B1597" s="9" t="s">
        <v>2</v>
      </c>
      <c r="C1597" s="90">
        <v>0.53600000000000003</v>
      </c>
      <c r="D1597" s="74" t="s">
        <v>1174</v>
      </c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</row>
    <row r="1598" spans="1:24" ht="13.2" x14ac:dyDescent="0.25">
      <c r="A1598" s="9" t="s">
        <v>114</v>
      </c>
      <c r="B1598" s="9" t="s">
        <v>4</v>
      </c>
      <c r="C1598" s="90">
        <v>0.80300000000000005</v>
      </c>
      <c r="D1598" s="74" t="s">
        <v>1174</v>
      </c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</row>
    <row r="1599" spans="1:24" ht="13.2" x14ac:dyDescent="0.25">
      <c r="A1599" s="9" t="s">
        <v>114</v>
      </c>
      <c r="B1599" s="9" t="s">
        <v>6</v>
      </c>
      <c r="C1599" s="90">
        <v>0.34899999999999998</v>
      </c>
      <c r="D1599" s="74" t="s">
        <v>1174</v>
      </c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</row>
    <row r="1600" spans="1:24" ht="13.2" x14ac:dyDescent="0.25">
      <c r="A1600" s="9" t="s">
        <v>114</v>
      </c>
      <c r="B1600" s="9" t="s">
        <v>8</v>
      </c>
      <c r="C1600" s="91">
        <v>1</v>
      </c>
      <c r="D1600" s="74" t="s">
        <v>1174</v>
      </c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</row>
    <row r="1601" spans="1:24" ht="13.2" x14ac:dyDescent="0.25">
      <c r="A1601" s="9" t="s">
        <v>114</v>
      </c>
      <c r="B1601" s="9" t="s">
        <v>10</v>
      </c>
      <c r="C1601" s="74" t="s">
        <v>315</v>
      </c>
      <c r="D1601" s="74" t="s">
        <v>535</v>
      </c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</row>
    <row r="1602" spans="1:24" ht="13.2" x14ac:dyDescent="0.25">
      <c r="A1602" s="9" t="s">
        <v>114</v>
      </c>
      <c r="B1602" s="9" t="s">
        <v>12</v>
      </c>
      <c r="C1602" s="74" t="s">
        <v>1175</v>
      </c>
      <c r="D1602" s="74" t="s">
        <v>1176</v>
      </c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</row>
    <row r="1603" spans="1:24" ht="13.2" x14ac:dyDescent="0.25">
      <c r="A1603" s="9" t="s">
        <v>114</v>
      </c>
      <c r="B1603" s="9" t="s">
        <v>14</v>
      </c>
      <c r="C1603" s="74" t="s">
        <v>1177</v>
      </c>
      <c r="D1603" s="74" t="s">
        <v>1176</v>
      </c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</row>
    <row r="1604" spans="1:24" ht="13.2" x14ac:dyDescent="0.25">
      <c r="A1604" s="9" t="s">
        <v>114</v>
      </c>
      <c r="B1604" s="9" t="s">
        <v>16</v>
      </c>
      <c r="C1604" s="74" t="s">
        <v>1178</v>
      </c>
      <c r="D1604" s="74" t="s">
        <v>1174</v>
      </c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</row>
    <row r="1605" spans="1:24" ht="13.2" x14ac:dyDescent="0.25">
      <c r="A1605" s="9" t="s">
        <v>114</v>
      </c>
      <c r="B1605" s="9" t="s">
        <v>18</v>
      </c>
      <c r="C1605" s="74" t="s">
        <v>1179</v>
      </c>
      <c r="D1605" s="74" t="s">
        <v>1174</v>
      </c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</row>
    <row r="1606" spans="1:24" ht="13.2" x14ac:dyDescent="0.25">
      <c r="A1606" s="9" t="s">
        <v>114</v>
      </c>
      <c r="B1606" s="9" t="s">
        <v>20</v>
      </c>
      <c r="C1606" s="74" t="s">
        <v>1180</v>
      </c>
      <c r="D1606" s="74" t="s">
        <v>1174</v>
      </c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</row>
    <row r="1607" spans="1:24" ht="13.2" x14ac:dyDescent="0.25">
      <c r="A1607" s="9" t="s">
        <v>114</v>
      </c>
      <c r="B1607" s="9" t="s">
        <v>22</v>
      </c>
      <c r="C1607" s="74" t="s">
        <v>1181</v>
      </c>
      <c r="D1607" s="74" t="s">
        <v>1174</v>
      </c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</row>
    <row r="1608" spans="1:24" ht="13.2" x14ac:dyDescent="0.25">
      <c r="A1608" s="9" t="s">
        <v>114</v>
      </c>
      <c r="B1608" s="9" t="s">
        <v>24</v>
      </c>
      <c r="C1608" s="74" t="s">
        <v>1182</v>
      </c>
      <c r="D1608" s="74" t="s">
        <v>1174</v>
      </c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</row>
    <row r="1609" spans="1:24" ht="13.2" x14ac:dyDescent="0.25">
      <c r="A1609" s="9" t="s">
        <v>114</v>
      </c>
      <c r="B1609" s="9" t="s">
        <v>26</v>
      </c>
      <c r="C1609" s="74" t="s">
        <v>1183</v>
      </c>
      <c r="D1609" s="74" t="s">
        <v>1174</v>
      </c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</row>
    <row r="1610" spans="1:24" ht="13.2" x14ac:dyDescent="0.25">
      <c r="A1610" s="9" t="s">
        <v>114</v>
      </c>
      <c r="B1610" s="9" t="s">
        <v>28</v>
      </c>
      <c r="C1610" s="74" t="s">
        <v>1184</v>
      </c>
      <c r="D1610" s="74" t="s">
        <v>1174</v>
      </c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</row>
    <row r="1611" spans="1:24" ht="13.2" x14ac:dyDescent="0.25">
      <c r="A1611" s="9" t="s">
        <v>114</v>
      </c>
      <c r="B1611" s="9" t="s">
        <v>30</v>
      </c>
      <c r="C1611" s="74" t="s">
        <v>1185</v>
      </c>
      <c r="D1611" s="74" t="s">
        <v>535</v>
      </c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</row>
    <row r="1612" spans="1:24" ht="13.2" x14ac:dyDescent="0.25">
      <c r="A1612" s="9" t="s">
        <v>114</v>
      </c>
      <c r="B1612" s="9" t="s">
        <v>32</v>
      </c>
      <c r="C1612" s="74" t="s">
        <v>315</v>
      </c>
      <c r="D1612" s="74" t="s">
        <v>535</v>
      </c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</row>
    <row r="1613" spans="1:24" ht="13.2" x14ac:dyDescent="0.25">
      <c r="A1613" s="9" t="s">
        <v>114</v>
      </c>
      <c r="B1613" s="9" t="s">
        <v>34</v>
      </c>
      <c r="C1613" s="74" t="s">
        <v>315</v>
      </c>
      <c r="D1613" s="74" t="s">
        <v>535</v>
      </c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</row>
    <row r="1614" spans="1:24" ht="13.2" x14ac:dyDescent="0.25">
      <c r="A1614" s="9" t="s">
        <v>114</v>
      </c>
      <c r="B1614" s="9" t="s">
        <v>36</v>
      </c>
      <c r="C1614" s="74" t="s">
        <v>1186</v>
      </c>
      <c r="D1614" s="74" t="s">
        <v>1174</v>
      </c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</row>
    <row r="1615" spans="1:24" ht="13.2" x14ac:dyDescent="0.25">
      <c r="A1615" s="9" t="s">
        <v>114</v>
      </c>
      <c r="B1615" s="9" t="s">
        <v>38</v>
      </c>
      <c r="C1615" s="74" t="s">
        <v>315</v>
      </c>
      <c r="D1615" s="74" t="s">
        <v>535</v>
      </c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</row>
    <row r="1616" spans="1:24" ht="13.2" x14ac:dyDescent="0.25">
      <c r="A1616" s="9" t="s">
        <v>114</v>
      </c>
      <c r="B1616" s="9" t="s">
        <v>40</v>
      </c>
      <c r="C1616" s="74" t="s">
        <v>1187</v>
      </c>
      <c r="D1616" s="74" t="s">
        <v>1174</v>
      </c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</row>
    <row r="1617" spans="1:24" ht="13.2" x14ac:dyDescent="0.25">
      <c r="A1617" s="9" t="s">
        <v>114</v>
      </c>
      <c r="B1617" s="9" t="s">
        <v>42</v>
      </c>
      <c r="C1617" s="74" t="s">
        <v>1188</v>
      </c>
      <c r="D1617" s="74" t="s">
        <v>1176</v>
      </c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</row>
    <row r="1618" spans="1:24" ht="13.2" x14ac:dyDescent="0.25">
      <c r="A1618" s="9" t="s">
        <v>114</v>
      </c>
      <c r="B1618" s="9" t="s">
        <v>44</v>
      </c>
      <c r="C1618" s="74" t="s">
        <v>315</v>
      </c>
      <c r="D1618" s="74" t="s">
        <v>535</v>
      </c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</row>
    <row r="1619" spans="1:24" ht="13.2" x14ac:dyDescent="0.25">
      <c r="A1619" s="9" t="s">
        <v>114</v>
      </c>
      <c r="B1619" s="9" t="s">
        <v>46</v>
      </c>
      <c r="C1619" s="74" t="s">
        <v>1189</v>
      </c>
      <c r="D1619" s="74" t="s">
        <v>1190</v>
      </c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</row>
    <row r="1620" spans="1:24" ht="13.2" x14ac:dyDescent="0.25">
      <c r="A1620" s="9" t="s">
        <v>114</v>
      </c>
      <c r="B1620" s="9" t="s">
        <v>48</v>
      </c>
      <c r="C1620" s="74" t="s">
        <v>1191</v>
      </c>
      <c r="D1620" s="74" t="s">
        <v>1190</v>
      </c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</row>
    <row r="1621" spans="1:24" ht="13.2" x14ac:dyDescent="0.25">
      <c r="A1621" s="9" t="s">
        <v>114</v>
      </c>
      <c r="B1621" s="9" t="s">
        <v>56</v>
      </c>
      <c r="C1621" s="74" t="s">
        <v>1191</v>
      </c>
      <c r="D1621" s="74" t="s">
        <v>1190</v>
      </c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</row>
    <row r="1622" spans="1:24" ht="13.2" x14ac:dyDescent="0.25">
      <c r="A1622" s="9" t="s">
        <v>114</v>
      </c>
      <c r="B1622" s="9" t="s">
        <v>337</v>
      </c>
      <c r="C1622" s="74" t="s">
        <v>1192</v>
      </c>
      <c r="D1622" s="74" t="s">
        <v>1176</v>
      </c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</row>
    <row r="1623" spans="1:24" ht="13.2" x14ac:dyDescent="0.25">
      <c r="A1623" s="9" t="s">
        <v>114</v>
      </c>
      <c r="B1623" s="9" t="s">
        <v>339</v>
      </c>
      <c r="C1623" s="74" t="s">
        <v>315</v>
      </c>
      <c r="D1623" s="74" t="s">
        <v>535</v>
      </c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</row>
    <row r="1624" spans="1:24" ht="13.2" x14ac:dyDescent="0.25">
      <c r="A1624" s="9" t="s">
        <v>114</v>
      </c>
      <c r="B1624" s="9" t="s">
        <v>124</v>
      </c>
      <c r="C1624" s="74" t="s">
        <v>1193</v>
      </c>
      <c r="D1624" s="74" t="s">
        <v>1174</v>
      </c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</row>
    <row r="1625" spans="1:24" ht="13.2" x14ac:dyDescent="0.25">
      <c r="A1625" s="9" t="s">
        <v>114</v>
      </c>
      <c r="B1625" s="9" t="s">
        <v>126</v>
      </c>
      <c r="C1625" s="74" t="s">
        <v>1194</v>
      </c>
      <c r="D1625" s="74" t="s">
        <v>1174</v>
      </c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</row>
    <row r="1626" spans="1:24" ht="13.2" x14ac:dyDescent="0.25">
      <c r="A1626" s="9" t="s">
        <v>114</v>
      </c>
      <c r="B1626" s="9" t="s">
        <v>130</v>
      </c>
      <c r="C1626" s="74" t="s">
        <v>1195</v>
      </c>
      <c r="D1626" s="74" t="s">
        <v>1176</v>
      </c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</row>
    <row r="1627" spans="1:24" ht="13.2" x14ac:dyDescent="0.25">
      <c r="A1627" s="9" t="s">
        <v>114</v>
      </c>
      <c r="B1627" s="9" t="s">
        <v>131</v>
      </c>
      <c r="C1627" s="74" t="s">
        <v>315</v>
      </c>
      <c r="D1627" s="74" t="s">
        <v>535</v>
      </c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</row>
    <row r="1628" spans="1:24" ht="13.2" x14ac:dyDescent="0.25">
      <c r="A1628" s="9" t="s">
        <v>114</v>
      </c>
      <c r="B1628" s="9" t="s">
        <v>132</v>
      </c>
      <c r="C1628" s="74" t="s">
        <v>1196</v>
      </c>
      <c r="D1628" s="74" t="s">
        <v>1176</v>
      </c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</row>
    <row r="1629" spans="1:24" ht="13.2" x14ac:dyDescent="0.25">
      <c r="A1629" s="9" t="s">
        <v>114</v>
      </c>
      <c r="B1629" s="9" t="s">
        <v>50</v>
      </c>
      <c r="C1629" s="74" t="s">
        <v>1197</v>
      </c>
      <c r="D1629" s="74" t="s">
        <v>1174</v>
      </c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</row>
    <row r="1630" spans="1:24" ht="13.2" x14ac:dyDescent="0.25">
      <c r="A1630" s="9" t="s">
        <v>114</v>
      </c>
      <c r="B1630" s="9" t="s">
        <v>52</v>
      </c>
      <c r="C1630" s="74" t="s">
        <v>1198</v>
      </c>
      <c r="D1630" s="74" t="s">
        <v>535</v>
      </c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</row>
    <row r="1631" spans="1:24" ht="13.2" x14ac:dyDescent="0.25">
      <c r="A1631" s="9" t="s">
        <v>114</v>
      </c>
      <c r="B1631" s="9" t="s">
        <v>54</v>
      </c>
      <c r="C1631" s="74" t="s">
        <v>1199</v>
      </c>
      <c r="D1631" s="74" t="s">
        <v>1174</v>
      </c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</row>
    <row r="1632" spans="1:24" ht="13.2" x14ac:dyDescent="0.25">
      <c r="A1632" s="9" t="s">
        <v>114</v>
      </c>
      <c r="B1632" s="9" t="s">
        <v>134</v>
      </c>
      <c r="C1632" s="74" t="s">
        <v>1200</v>
      </c>
      <c r="D1632" s="74" t="s">
        <v>1176</v>
      </c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</row>
    <row r="1633" spans="1:24" ht="13.2" x14ac:dyDescent="0.25">
      <c r="A1633" s="9" t="s">
        <v>114</v>
      </c>
      <c r="B1633" s="9" t="s">
        <v>135</v>
      </c>
      <c r="C1633" s="74" t="s">
        <v>1201</v>
      </c>
      <c r="D1633" s="74" t="s">
        <v>1176</v>
      </c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</row>
    <row r="1634" spans="1:24" ht="13.2" x14ac:dyDescent="0.25">
      <c r="A1634" s="9" t="s">
        <v>114</v>
      </c>
      <c r="B1634" s="9" t="s">
        <v>136</v>
      </c>
      <c r="C1634" s="74" t="s">
        <v>1201</v>
      </c>
      <c r="D1634" s="74" t="s">
        <v>1176</v>
      </c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</row>
    <row r="1635" spans="1:24" ht="13.2" x14ac:dyDescent="0.25">
      <c r="A1635" s="9" t="s">
        <v>114</v>
      </c>
      <c r="B1635" s="9" t="s">
        <v>66</v>
      </c>
      <c r="C1635" s="74" t="s">
        <v>1202</v>
      </c>
      <c r="D1635" s="74" t="s">
        <v>1174</v>
      </c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</row>
    <row r="1636" spans="1:24" ht="13.2" x14ac:dyDescent="0.25">
      <c r="A1636" s="9" t="s">
        <v>114</v>
      </c>
      <c r="B1636" s="9" t="s">
        <v>68</v>
      </c>
      <c r="C1636" s="74" t="s">
        <v>1203</v>
      </c>
      <c r="D1636" s="74" t="s">
        <v>1176</v>
      </c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</row>
    <row r="1637" spans="1:24" ht="13.2" x14ac:dyDescent="0.25">
      <c r="A1637" s="9" t="s">
        <v>114</v>
      </c>
      <c r="B1637" s="9" t="s">
        <v>341</v>
      </c>
      <c r="C1637" s="74" t="s">
        <v>315</v>
      </c>
      <c r="D1637" s="74" t="s">
        <v>535</v>
      </c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</row>
    <row r="1638" spans="1:24" ht="13.2" x14ac:dyDescent="0.25">
      <c r="A1638" s="9" t="s">
        <v>114</v>
      </c>
      <c r="B1638" s="9" t="s">
        <v>72</v>
      </c>
      <c r="C1638" s="74" t="s">
        <v>315</v>
      </c>
      <c r="D1638" s="74" t="s">
        <v>535</v>
      </c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</row>
    <row r="1639" spans="1:24" ht="13.2" x14ac:dyDescent="0.25">
      <c r="A1639" s="9" t="s">
        <v>114</v>
      </c>
      <c r="B1639" s="9" t="s">
        <v>74</v>
      </c>
      <c r="C1639" s="90">
        <v>8.8999999999999996E-2</v>
      </c>
      <c r="D1639" s="74" t="s">
        <v>1174</v>
      </c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</row>
    <row r="1640" spans="1:24" ht="13.2" x14ac:dyDescent="0.25">
      <c r="A1640" s="9" t="s">
        <v>114</v>
      </c>
      <c r="B1640" s="9" t="s">
        <v>142</v>
      </c>
      <c r="C1640" s="74" t="s">
        <v>315</v>
      </c>
      <c r="D1640" s="74" t="s">
        <v>535</v>
      </c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</row>
    <row r="1641" spans="1:24" ht="13.2" x14ac:dyDescent="0.25">
      <c r="A1641" s="9" t="s">
        <v>114</v>
      </c>
      <c r="B1641" s="9" t="s">
        <v>143</v>
      </c>
      <c r="C1641" s="74" t="s">
        <v>315</v>
      </c>
      <c r="D1641" s="74" t="s">
        <v>535</v>
      </c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</row>
    <row r="1642" spans="1:24" ht="13.2" x14ac:dyDescent="0.25">
      <c r="A1642" s="9" t="s">
        <v>114</v>
      </c>
      <c r="B1642" s="9" t="s">
        <v>144</v>
      </c>
      <c r="C1642" s="74" t="s">
        <v>1204</v>
      </c>
      <c r="D1642" s="74" t="s">
        <v>1174</v>
      </c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</row>
    <row r="1643" spans="1:24" ht="13.2" x14ac:dyDescent="0.25">
      <c r="A1643" s="9" t="s">
        <v>114</v>
      </c>
      <c r="B1643" s="9" t="s">
        <v>145</v>
      </c>
      <c r="C1643" s="74" t="s">
        <v>1205</v>
      </c>
      <c r="D1643" s="74" t="s">
        <v>1176</v>
      </c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</row>
    <row r="1644" spans="1:24" ht="13.2" x14ac:dyDescent="0.25">
      <c r="A1644" s="9" t="s">
        <v>114</v>
      </c>
      <c r="B1644" s="9" t="s">
        <v>146</v>
      </c>
      <c r="C1644" s="90">
        <v>3.0000000000000001E-3</v>
      </c>
      <c r="D1644" s="74" t="s">
        <v>1174</v>
      </c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</row>
    <row r="1645" spans="1:24" ht="13.2" x14ac:dyDescent="0.25">
      <c r="A1645" s="9" t="s">
        <v>114</v>
      </c>
      <c r="B1645" s="9" t="s">
        <v>147</v>
      </c>
      <c r="C1645" s="90">
        <v>1E-3</v>
      </c>
      <c r="D1645" s="74" t="s">
        <v>1174</v>
      </c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</row>
    <row r="1646" spans="1:24" ht="13.2" x14ac:dyDescent="0.25">
      <c r="A1646" s="9" t="s">
        <v>114</v>
      </c>
      <c r="B1646" s="9" t="s">
        <v>76</v>
      </c>
      <c r="C1646" s="91">
        <v>0.4</v>
      </c>
      <c r="D1646" s="74" t="s">
        <v>1174</v>
      </c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</row>
    <row r="1647" spans="1:24" ht="13.2" x14ac:dyDescent="0.25">
      <c r="A1647" s="9" t="s">
        <v>114</v>
      </c>
      <c r="B1647" s="9" t="s">
        <v>150</v>
      </c>
      <c r="C1647" s="74" t="s">
        <v>1206</v>
      </c>
      <c r="D1647" s="74" t="s">
        <v>535</v>
      </c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</row>
    <row r="1648" spans="1:24" ht="13.2" x14ac:dyDescent="0.25">
      <c r="A1648" s="9" t="s">
        <v>114</v>
      </c>
      <c r="B1648" s="9" t="s">
        <v>351</v>
      </c>
      <c r="C1648" s="74" t="s">
        <v>315</v>
      </c>
      <c r="D1648" s="74" t="s">
        <v>535</v>
      </c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</row>
    <row r="1649" spans="1:24" ht="13.2" x14ac:dyDescent="0.25">
      <c r="A1649" s="9" t="s">
        <v>114</v>
      </c>
      <c r="B1649" s="9" t="s">
        <v>152</v>
      </c>
      <c r="C1649" s="74" t="s">
        <v>315</v>
      </c>
      <c r="D1649" s="74" t="s">
        <v>535</v>
      </c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</row>
    <row r="1650" spans="1:24" ht="13.2" x14ac:dyDescent="0.25">
      <c r="A1650" s="9" t="s">
        <v>114</v>
      </c>
      <c r="B1650" s="9" t="s">
        <v>78</v>
      </c>
      <c r="C1650" s="74" t="s">
        <v>1207</v>
      </c>
      <c r="D1650" s="74" t="s">
        <v>1176</v>
      </c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</row>
    <row r="1651" spans="1:24" ht="13.2" x14ac:dyDescent="0.25">
      <c r="A1651" s="9" t="s">
        <v>114</v>
      </c>
      <c r="B1651" s="9" t="s">
        <v>80</v>
      </c>
      <c r="C1651" s="74">
        <v>2030</v>
      </c>
      <c r="D1651" s="74" t="s">
        <v>1174</v>
      </c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</row>
    <row r="1652" spans="1:24" ht="13.2" x14ac:dyDescent="0.25">
      <c r="A1652" s="9" t="s">
        <v>114</v>
      </c>
      <c r="B1652" s="9" t="s">
        <v>82</v>
      </c>
      <c r="C1652" s="74">
        <v>2030</v>
      </c>
      <c r="D1652" s="74" t="s">
        <v>1174</v>
      </c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</row>
    <row r="1653" spans="1:24" ht="13.2" x14ac:dyDescent="0.25">
      <c r="A1653" s="9" t="s">
        <v>115</v>
      </c>
      <c r="B1653" s="9" t="s">
        <v>2</v>
      </c>
      <c r="C1653" s="74" t="s">
        <v>1208</v>
      </c>
      <c r="D1653" s="74" t="s">
        <v>1209</v>
      </c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</row>
    <row r="1654" spans="1:24" ht="13.2" x14ac:dyDescent="0.25">
      <c r="A1654" s="9" t="s">
        <v>115</v>
      </c>
      <c r="B1654" s="9" t="s">
        <v>4</v>
      </c>
      <c r="C1654" s="91">
        <v>0.83</v>
      </c>
      <c r="D1654" s="74" t="s">
        <v>1209</v>
      </c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</row>
    <row r="1655" spans="1:24" ht="13.2" x14ac:dyDescent="0.25">
      <c r="A1655" s="9" t="s">
        <v>115</v>
      </c>
      <c r="B1655" s="9" t="s">
        <v>6</v>
      </c>
      <c r="C1655" s="91">
        <v>0.27</v>
      </c>
      <c r="D1655" s="74" t="s">
        <v>1209</v>
      </c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</row>
    <row r="1656" spans="1:24" ht="13.2" x14ac:dyDescent="0.25">
      <c r="A1656" s="9" t="s">
        <v>115</v>
      </c>
      <c r="B1656" s="9" t="s">
        <v>8</v>
      </c>
      <c r="C1656" s="74" t="s">
        <v>1210</v>
      </c>
      <c r="D1656" s="74" t="s">
        <v>1209</v>
      </c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</row>
    <row r="1657" spans="1:24" ht="13.2" x14ac:dyDescent="0.25">
      <c r="A1657" s="9" t="s">
        <v>115</v>
      </c>
      <c r="B1657" s="9" t="s">
        <v>10</v>
      </c>
      <c r="C1657" s="74" t="s">
        <v>315</v>
      </c>
      <c r="D1657" s="74" t="s">
        <v>535</v>
      </c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</row>
    <row r="1658" spans="1:24" ht="13.2" x14ac:dyDescent="0.25">
      <c r="A1658" s="9" t="s">
        <v>115</v>
      </c>
      <c r="B1658" s="9" t="s">
        <v>12</v>
      </c>
      <c r="C1658" s="74" t="s">
        <v>315</v>
      </c>
      <c r="D1658" s="74" t="s">
        <v>535</v>
      </c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</row>
    <row r="1659" spans="1:24" ht="13.2" x14ac:dyDescent="0.25">
      <c r="A1659" s="9" t="s">
        <v>115</v>
      </c>
      <c r="B1659" s="9" t="s">
        <v>14</v>
      </c>
      <c r="C1659" s="74" t="s">
        <v>1211</v>
      </c>
      <c r="D1659" s="74" t="s">
        <v>1212</v>
      </c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</row>
    <row r="1660" spans="1:24" ht="13.2" x14ac:dyDescent="0.25">
      <c r="A1660" s="9" t="s">
        <v>115</v>
      </c>
      <c r="B1660" s="9" t="s">
        <v>16</v>
      </c>
      <c r="C1660" s="74" t="s">
        <v>1213</v>
      </c>
      <c r="D1660" s="74" t="s">
        <v>1209</v>
      </c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</row>
    <row r="1661" spans="1:24" ht="13.2" x14ac:dyDescent="0.25">
      <c r="A1661" s="9" t="s">
        <v>115</v>
      </c>
      <c r="B1661" s="9" t="s">
        <v>18</v>
      </c>
      <c r="C1661" s="74" t="s">
        <v>1214</v>
      </c>
      <c r="D1661" s="74" t="s">
        <v>1209</v>
      </c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</row>
    <row r="1662" spans="1:24" ht="13.2" x14ac:dyDescent="0.25">
      <c r="A1662" s="9" t="s">
        <v>115</v>
      </c>
      <c r="B1662" s="9" t="s">
        <v>20</v>
      </c>
      <c r="C1662" s="74" t="s">
        <v>512</v>
      </c>
      <c r="D1662" s="74" t="s">
        <v>535</v>
      </c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</row>
    <row r="1663" spans="1:24" ht="13.2" x14ac:dyDescent="0.25">
      <c r="A1663" s="9" t="s">
        <v>115</v>
      </c>
      <c r="B1663" s="9" t="s">
        <v>22</v>
      </c>
      <c r="C1663" s="74" t="s">
        <v>1215</v>
      </c>
      <c r="D1663" s="74" t="s">
        <v>1209</v>
      </c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</row>
    <row r="1664" spans="1:24" ht="13.2" x14ac:dyDescent="0.25">
      <c r="A1664" s="9" t="s">
        <v>115</v>
      </c>
      <c r="B1664" s="9" t="s">
        <v>24</v>
      </c>
      <c r="C1664" s="74" t="s">
        <v>1216</v>
      </c>
      <c r="D1664" s="74" t="s">
        <v>1209</v>
      </c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</row>
    <row r="1665" spans="1:24" ht="13.2" x14ac:dyDescent="0.25">
      <c r="A1665" s="9" t="s">
        <v>115</v>
      </c>
      <c r="B1665" s="9" t="s">
        <v>26</v>
      </c>
      <c r="C1665" s="74" t="s">
        <v>1217</v>
      </c>
      <c r="D1665" s="74" t="s">
        <v>1212</v>
      </c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</row>
    <row r="1666" spans="1:24" ht="13.2" x14ac:dyDescent="0.25">
      <c r="A1666" s="9" t="s">
        <v>115</v>
      </c>
      <c r="B1666" s="9" t="s">
        <v>28</v>
      </c>
      <c r="C1666" s="74" t="s">
        <v>315</v>
      </c>
      <c r="D1666" s="74" t="s">
        <v>535</v>
      </c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</row>
    <row r="1667" spans="1:24" ht="13.2" x14ac:dyDescent="0.25">
      <c r="A1667" s="9" t="s">
        <v>115</v>
      </c>
      <c r="B1667" s="9" t="s">
        <v>30</v>
      </c>
      <c r="C1667" s="74" t="s">
        <v>1218</v>
      </c>
      <c r="D1667" s="74" t="s">
        <v>535</v>
      </c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</row>
    <row r="1668" spans="1:24" ht="13.2" x14ac:dyDescent="0.25">
      <c r="A1668" s="9" t="s">
        <v>115</v>
      </c>
      <c r="B1668" s="9" t="s">
        <v>32</v>
      </c>
      <c r="C1668" s="74" t="s">
        <v>315</v>
      </c>
      <c r="D1668" s="74" t="s">
        <v>535</v>
      </c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</row>
    <row r="1669" spans="1:24" ht="13.2" x14ac:dyDescent="0.25">
      <c r="A1669" s="9" t="s">
        <v>115</v>
      </c>
      <c r="B1669" s="9" t="s">
        <v>34</v>
      </c>
      <c r="C1669" s="74" t="s">
        <v>1219</v>
      </c>
      <c r="D1669" s="74" t="s">
        <v>535</v>
      </c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</row>
    <row r="1670" spans="1:24" ht="13.2" x14ac:dyDescent="0.25">
      <c r="A1670" s="9" t="s">
        <v>115</v>
      </c>
      <c r="B1670" s="9" t="s">
        <v>36</v>
      </c>
      <c r="C1670" s="74" t="s">
        <v>1220</v>
      </c>
      <c r="D1670" s="74" t="s">
        <v>1209</v>
      </c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</row>
    <row r="1671" spans="1:24" ht="13.2" x14ac:dyDescent="0.25">
      <c r="A1671" s="9" t="s">
        <v>115</v>
      </c>
      <c r="B1671" s="9" t="s">
        <v>38</v>
      </c>
      <c r="C1671" s="74" t="s">
        <v>315</v>
      </c>
      <c r="D1671" s="74" t="s">
        <v>535</v>
      </c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</row>
    <row r="1672" spans="1:24" ht="13.2" x14ac:dyDescent="0.25">
      <c r="A1672" s="9" t="s">
        <v>115</v>
      </c>
      <c r="B1672" s="9" t="s">
        <v>40</v>
      </c>
      <c r="C1672" s="74" t="s">
        <v>1221</v>
      </c>
      <c r="D1672" s="74" t="s">
        <v>535</v>
      </c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</row>
    <row r="1673" spans="1:24" ht="13.2" x14ac:dyDescent="0.25">
      <c r="A1673" s="9" t="s">
        <v>115</v>
      </c>
      <c r="B1673" s="9" t="s">
        <v>42</v>
      </c>
      <c r="C1673" s="74" t="s">
        <v>1222</v>
      </c>
      <c r="D1673" s="74" t="s">
        <v>1209</v>
      </c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</row>
    <row r="1674" spans="1:24" ht="13.2" x14ac:dyDescent="0.25">
      <c r="A1674" s="9" t="s">
        <v>115</v>
      </c>
      <c r="B1674" s="9" t="s">
        <v>44</v>
      </c>
      <c r="C1674" s="74" t="s">
        <v>315</v>
      </c>
      <c r="D1674" s="74" t="s">
        <v>535</v>
      </c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</row>
    <row r="1675" spans="1:24" ht="13.2" x14ac:dyDescent="0.25">
      <c r="A1675" s="9" t="s">
        <v>115</v>
      </c>
      <c r="B1675" s="9" t="s">
        <v>46</v>
      </c>
      <c r="C1675" s="74" t="s">
        <v>356</v>
      </c>
      <c r="D1675" s="74" t="s">
        <v>535</v>
      </c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</row>
    <row r="1676" spans="1:24" ht="13.2" x14ac:dyDescent="0.25">
      <c r="A1676" s="9" t="s">
        <v>115</v>
      </c>
      <c r="B1676" s="9" t="s">
        <v>48</v>
      </c>
      <c r="C1676" s="74" t="s">
        <v>315</v>
      </c>
      <c r="D1676" s="74" t="s">
        <v>535</v>
      </c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</row>
    <row r="1677" spans="1:24" ht="13.2" x14ac:dyDescent="0.25">
      <c r="A1677" s="9" t="s">
        <v>115</v>
      </c>
      <c r="B1677" s="9" t="s">
        <v>56</v>
      </c>
      <c r="C1677" s="74" t="s">
        <v>1223</v>
      </c>
      <c r="D1677" s="74" t="s">
        <v>1209</v>
      </c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</row>
    <row r="1678" spans="1:24" ht="13.2" x14ac:dyDescent="0.25">
      <c r="A1678" s="9" t="s">
        <v>115</v>
      </c>
      <c r="B1678" s="9" t="s">
        <v>337</v>
      </c>
      <c r="C1678" s="74" t="s">
        <v>1224</v>
      </c>
      <c r="D1678" s="74" t="s">
        <v>1212</v>
      </c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</row>
    <row r="1679" spans="1:24" ht="13.2" x14ac:dyDescent="0.25">
      <c r="A1679" s="9" t="s">
        <v>115</v>
      </c>
      <c r="B1679" s="9" t="s">
        <v>339</v>
      </c>
      <c r="C1679" s="74" t="s">
        <v>315</v>
      </c>
      <c r="D1679" s="74" t="s">
        <v>535</v>
      </c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</row>
    <row r="1680" spans="1:24" ht="13.2" x14ac:dyDescent="0.25">
      <c r="A1680" s="9" t="s">
        <v>115</v>
      </c>
      <c r="B1680" s="9" t="s">
        <v>124</v>
      </c>
      <c r="C1680" s="74" t="s">
        <v>1225</v>
      </c>
      <c r="D1680" s="74" t="s">
        <v>1209</v>
      </c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</row>
    <row r="1681" spans="1:24" ht="13.2" x14ac:dyDescent="0.25">
      <c r="A1681" s="9" t="s">
        <v>115</v>
      </c>
      <c r="B1681" s="9" t="s">
        <v>126</v>
      </c>
      <c r="C1681" s="74" t="s">
        <v>1226</v>
      </c>
      <c r="D1681" s="74" t="s">
        <v>1209</v>
      </c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</row>
    <row r="1682" spans="1:24" ht="13.2" x14ac:dyDescent="0.25">
      <c r="A1682" s="9" t="s">
        <v>115</v>
      </c>
      <c r="B1682" s="9" t="s">
        <v>130</v>
      </c>
      <c r="C1682" s="74" t="s">
        <v>1218</v>
      </c>
      <c r="D1682" s="74" t="s">
        <v>535</v>
      </c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</row>
    <row r="1683" spans="1:24" ht="13.2" x14ac:dyDescent="0.25">
      <c r="A1683" s="9" t="s">
        <v>115</v>
      </c>
      <c r="B1683" s="9" t="s">
        <v>131</v>
      </c>
      <c r="C1683" s="74" t="s">
        <v>315</v>
      </c>
      <c r="D1683" s="74" t="s">
        <v>535</v>
      </c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</row>
    <row r="1684" spans="1:24" ht="13.2" x14ac:dyDescent="0.25">
      <c r="A1684" s="9" t="s">
        <v>115</v>
      </c>
      <c r="B1684" s="9" t="s">
        <v>132</v>
      </c>
      <c r="C1684" s="74" t="s">
        <v>1227</v>
      </c>
      <c r="D1684" s="74" t="s">
        <v>1212</v>
      </c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</row>
    <row r="1685" spans="1:24" ht="13.2" x14ac:dyDescent="0.25">
      <c r="A1685" s="9" t="s">
        <v>115</v>
      </c>
      <c r="B1685" s="9" t="s">
        <v>50</v>
      </c>
      <c r="C1685" s="74" t="s">
        <v>1228</v>
      </c>
      <c r="D1685" s="74" t="s">
        <v>1209</v>
      </c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</row>
    <row r="1686" spans="1:24" ht="13.2" x14ac:dyDescent="0.25">
      <c r="A1686" s="9" t="s">
        <v>115</v>
      </c>
      <c r="B1686" s="9" t="s">
        <v>52</v>
      </c>
      <c r="C1686" s="74" t="s">
        <v>1229</v>
      </c>
      <c r="D1686" s="74" t="s">
        <v>535</v>
      </c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</row>
    <row r="1687" spans="1:24" ht="13.2" x14ac:dyDescent="0.25">
      <c r="A1687" s="9" t="s">
        <v>115</v>
      </c>
      <c r="B1687" s="9" t="s">
        <v>54</v>
      </c>
      <c r="C1687" s="74" t="s">
        <v>1230</v>
      </c>
      <c r="D1687" s="74" t="s">
        <v>1209</v>
      </c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</row>
    <row r="1688" spans="1:24" ht="13.2" x14ac:dyDescent="0.25">
      <c r="A1688" s="9" t="s">
        <v>115</v>
      </c>
      <c r="B1688" s="9" t="s">
        <v>134</v>
      </c>
      <c r="C1688" s="74" t="s">
        <v>815</v>
      </c>
      <c r="D1688" s="74" t="s">
        <v>535</v>
      </c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</row>
    <row r="1689" spans="1:24" ht="13.2" x14ac:dyDescent="0.25">
      <c r="A1689" s="9" t="s">
        <v>115</v>
      </c>
      <c r="B1689" s="9" t="s">
        <v>135</v>
      </c>
      <c r="C1689" s="74" t="s">
        <v>815</v>
      </c>
      <c r="D1689" s="74" t="s">
        <v>535</v>
      </c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</row>
    <row r="1690" spans="1:24" ht="13.2" x14ac:dyDescent="0.25">
      <c r="A1690" s="9" t="s">
        <v>115</v>
      </c>
      <c r="B1690" s="9" t="s">
        <v>136</v>
      </c>
      <c r="C1690" s="74" t="s">
        <v>815</v>
      </c>
      <c r="D1690" s="74" t="s">
        <v>535</v>
      </c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</row>
    <row r="1691" spans="1:24" ht="13.2" x14ac:dyDescent="0.25">
      <c r="A1691" s="9" t="s">
        <v>115</v>
      </c>
      <c r="B1691" s="9" t="s">
        <v>66</v>
      </c>
      <c r="C1691" s="74" t="s">
        <v>1231</v>
      </c>
      <c r="D1691" s="74" t="s">
        <v>1209</v>
      </c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</row>
    <row r="1692" spans="1:24" ht="13.2" x14ac:dyDescent="0.25">
      <c r="A1692" s="9" t="s">
        <v>115</v>
      </c>
      <c r="B1692" s="9" t="s">
        <v>68</v>
      </c>
      <c r="C1692" s="74" t="s">
        <v>1232</v>
      </c>
      <c r="D1692" s="74" t="s">
        <v>1209</v>
      </c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</row>
    <row r="1693" spans="1:24" ht="13.2" x14ac:dyDescent="0.25">
      <c r="A1693" s="9" t="s">
        <v>115</v>
      </c>
      <c r="B1693" s="9" t="s">
        <v>341</v>
      </c>
      <c r="C1693" s="74" t="s">
        <v>315</v>
      </c>
      <c r="D1693" s="74" t="s">
        <v>535</v>
      </c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</row>
    <row r="1694" spans="1:24" ht="13.2" x14ac:dyDescent="0.25">
      <c r="A1694" s="9" t="s">
        <v>115</v>
      </c>
      <c r="B1694" s="9" t="s">
        <v>72</v>
      </c>
      <c r="C1694" s="74" t="s">
        <v>315</v>
      </c>
      <c r="D1694" s="74" t="s">
        <v>535</v>
      </c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</row>
    <row r="1695" spans="1:24" ht="13.2" x14ac:dyDescent="0.25">
      <c r="A1695" s="9" t="s">
        <v>115</v>
      </c>
      <c r="B1695" s="9" t="s">
        <v>342</v>
      </c>
      <c r="C1695" s="74" t="s">
        <v>1233</v>
      </c>
      <c r="D1695" s="74" t="s">
        <v>1209</v>
      </c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</row>
    <row r="1696" spans="1:24" ht="13.2" x14ac:dyDescent="0.25">
      <c r="A1696" s="9" t="s">
        <v>115</v>
      </c>
      <c r="B1696" s="9" t="s">
        <v>343</v>
      </c>
      <c r="C1696" s="74" t="s">
        <v>315</v>
      </c>
      <c r="D1696" s="74" t="s">
        <v>535</v>
      </c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</row>
    <row r="1697" spans="1:24" ht="13.2" x14ac:dyDescent="0.25">
      <c r="A1697" s="9" t="s">
        <v>115</v>
      </c>
      <c r="B1697" s="9" t="s">
        <v>344</v>
      </c>
      <c r="C1697" s="74" t="s">
        <v>315</v>
      </c>
      <c r="D1697" s="74" t="s">
        <v>535</v>
      </c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</row>
    <row r="1698" spans="1:24" ht="13.2" x14ac:dyDescent="0.25">
      <c r="A1698" s="9" t="s">
        <v>115</v>
      </c>
      <c r="B1698" s="9" t="s">
        <v>345</v>
      </c>
      <c r="C1698" s="74" t="s">
        <v>1083</v>
      </c>
      <c r="D1698" s="74" t="s">
        <v>535</v>
      </c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</row>
    <row r="1699" spans="1:24" ht="13.2" x14ac:dyDescent="0.25">
      <c r="A1699" s="9" t="s">
        <v>115</v>
      </c>
      <c r="B1699" s="9" t="s">
        <v>346</v>
      </c>
      <c r="C1699" s="74" t="s">
        <v>315</v>
      </c>
      <c r="D1699" s="74" t="s">
        <v>535</v>
      </c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</row>
    <row r="1700" spans="1:24" ht="13.2" x14ac:dyDescent="0.25">
      <c r="A1700" s="9" t="s">
        <v>115</v>
      </c>
      <c r="B1700" s="9" t="s">
        <v>347</v>
      </c>
      <c r="C1700" s="74" t="s">
        <v>315</v>
      </c>
      <c r="D1700" s="74" t="s">
        <v>535</v>
      </c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</row>
    <row r="1701" spans="1:24" ht="13.2" x14ac:dyDescent="0.25">
      <c r="A1701" s="9" t="s">
        <v>115</v>
      </c>
      <c r="B1701" s="9" t="s">
        <v>348</v>
      </c>
      <c r="C1701" s="74" t="s">
        <v>315</v>
      </c>
      <c r="D1701" s="74" t="s">
        <v>535</v>
      </c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</row>
    <row r="1702" spans="1:24" ht="13.2" x14ac:dyDescent="0.25">
      <c r="A1702" s="9" t="s">
        <v>115</v>
      </c>
      <c r="B1702" s="9" t="s">
        <v>349</v>
      </c>
      <c r="C1702" s="91">
        <v>0.7</v>
      </c>
      <c r="D1702" s="74" t="s">
        <v>1209</v>
      </c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</row>
    <row r="1703" spans="1:24" ht="13.2" x14ac:dyDescent="0.25">
      <c r="A1703" s="9" t="s">
        <v>115</v>
      </c>
      <c r="B1703" s="9" t="s">
        <v>150</v>
      </c>
      <c r="C1703" s="74" t="s">
        <v>601</v>
      </c>
      <c r="D1703" s="74" t="s">
        <v>535</v>
      </c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</row>
    <row r="1704" spans="1:24" ht="13.2" x14ac:dyDescent="0.25">
      <c r="A1704" s="9" t="s">
        <v>115</v>
      </c>
      <c r="B1704" s="9" t="s">
        <v>351</v>
      </c>
      <c r="C1704" s="74" t="s">
        <v>315</v>
      </c>
      <c r="D1704" s="74" t="s">
        <v>535</v>
      </c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</row>
    <row r="1705" spans="1:24" ht="13.2" x14ac:dyDescent="0.25">
      <c r="A1705" s="9" t="s">
        <v>115</v>
      </c>
      <c r="B1705" s="9" t="s">
        <v>152</v>
      </c>
      <c r="C1705" s="74" t="s">
        <v>315</v>
      </c>
      <c r="D1705" s="74" t="s">
        <v>535</v>
      </c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</row>
    <row r="1706" spans="1:24" ht="13.2" x14ac:dyDescent="0.25">
      <c r="A1706" s="9" t="s">
        <v>115</v>
      </c>
      <c r="B1706" s="9" t="s">
        <v>78</v>
      </c>
      <c r="C1706" s="74" t="s">
        <v>1234</v>
      </c>
      <c r="D1706" s="74" t="s">
        <v>1209</v>
      </c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</row>
    <row r="1707" spans="1:24" ht="13.2" x14ac:dyDescent="0.25">
      <c r="A1707" s="9" t="s">
        <v>115</v>
      </c>
      <c r="B1707" s="9" t="s">
        <v>80</v>
      </c>
      <c r="C1707" s="74">
        <v>2030</v>
      </c>
      <c r="D1707" s="74" t="s">
        <v>1209</v>
      </c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</row>
    <row r="1708" spans="1:24" ht="13.2" x14ac:dyDescent="0.25">
      <c r="A1708" s="9" t="s">
        <v>115</v>
      </c>
      <c r="B1708" s="9" t="s">
        <v>82</v>
      </c>
      <c r="C1708" s="74">
        <v>2030</v>
      </c>
      <c r="D1708" s="74" t="s">
        <v>1209</v>
      </c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</row>
    <row r="1709" spans="1:24" ht="13.2" x14ac:dyDescent="0.25">
      <c r="A1709" s="9"/>
      <c r="B1709" s="9"/>
      <c r="C1709" s="74"/>
      <c r="D1709" s="74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</row>
    <row r="1710" spans="1:24" ht="13.2" x14ac:dyDescent="0.25">
      <c r="A1710" s="9"/>
      <c r="B1710" s="9"/>
      <c r="C1710" s="74"/>
      <c r="D1710" s="74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</row>
    <row r="1711" spans="1:24" ht="13.2" x14ac:dyDescent="0.25">
      <c r="A1711" s="9"/>
      <c r="B1711" s="9"/>
      <c r="C1711" s="74"/>
      <c r="D1711" s="74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</row>
    <row r="1712" spans="1:24" ht="13.2" x14ac:dyDescent="0.25">
      <c r="A1712" s="9"/>
      <c r="B1712" s="9"/>
      <c r="C1712" s="74"/>
      <c r="D1712" s="74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</row>
    <row r="1713" spans="1:24" ht="13.2" x14ac:dyDescent="0.25">
      <c r="A1713" s="9"/>
      <c r="B1713" s="9"/>
      <c r="C1713" s="74"/>
      <c r="D1713" s="74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</row>
    <row r="1714" spans="1:24" ht="13.2" x14ac:dyDescent="0.25">
      <c r="A1714" s="9"/>
      <c r="B1714" s="9"/>
      <c r="C1714" s="74"/>
      <c r="D1714" s="74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</row>
    <row r="1715" spans="1:24" ht="13.2" x14ac:dyDescent="0.25">
      <c r="A1715" s="9"/>
      <c r="B1715" s="9"/>
      <c r="C1715" s="74"/>
      <c r="D1715" s="74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</row>
    <row r="1716" spans="1:24" ht="13.2" x14ac:dyDescent="0.25">
      <c r="A1716" s="9"/>
      <c r="B1716" s="9"/>
      <c r="C1716" s="74"/>
      <c r="D1716" s="74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</row>
    <row r="1717" spans="1:24" ht="13.2" x14ac:dyDescent="0.25">
      <c r="A1717" s="9"/>
      <c r="B1717" s="9"/>
      <c r="C1717" s="74"/>
      <c r="D1717" s="74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</row>
    <row r="1718" spans="1:24" ht="13.2" x14ac:dyDescent="0.25">
      <c r="A1718" s="9"/>
      <c r="B1718" s="9"/>
      <c r="C1718" s="74"/>
      <c r="D1718" s="74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</row>
    <row r="1719" spans="1:24" ht="13.2" x14ac:dyDescent="0.25">
      <c r="A1719" s="9"/>
      <c r="B1719" s="9"/>
      <c r="C1719" s="74"/>
      <c r="D1719" s="74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</row>
    <row r="1720" spans="1:24" ht="13.2" x14ac:dyDescent="0.25">
      <c r="A1720" s="9"/>
      <c r="B1720" s="9"/>
      <c r="C1720" s="74"/>
      <c r="D1720" s="74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</row>
    <row r="1721" spans="1:24" ht="13.2" x14ac:dyDescent="0.25">
      <c r="A1721" s="9"/>
      <c r="B1721" s="9"/>
      <c r="C1721" s="74"/>
      <c r="D1721" s="74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</row>
    <row r="1722" spans="1:24" ht="13.2" x14ac:dyDescent="0.25">
      <c r="A1722" s="9"/>
      <c r="B1722" s="9"/>
      <c r="C1722" s="74"/>
      <c r="D1722" s="74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</row>
    <row r="1723" spans="1:24" ht="13.2" x14ac:dyDescent="0.25">
      <c r="A1723" s="9"/>
      <c r="B1723" s="9"/>
      <c r="C1723" s="74"/>
      <c r="D1723" s="74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</row>
    <row r="1724" spans="1:24" ht="13.2" x14ac:dyDescent="0.25">
      <c r="A1724" s="9"/>
      <c r="B1724" s="9"/>
      <c r="C1724" s="74"/>
      <c r="D1724" s="74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</row>
    <row r="1725" spans="1:24" ht="13.2" x14ac:dyDescent="0.25">
      <c r="A1725" s="9"/>
      <c r="B1725" s="9"/>
      <c r="C1725" s="74"/>
      <c r="D1725" s="74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</row>
    <row r="1726" spans="1:24" ht="13.2" x14ac:dyDescent="0.25">
      <c r="A1726" s="9"/>
      <c r="B1726" s="9"/>
      <c r="C1726" s="74"/>
      <c r="D1726" s="74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</row>
    <row r="1727" spans="1:24" ht="13.2" x14ac:dyDescent="0.25">
      <c r="A1727" s="9"/>
      <c r="B1727" s="9"/>
      <c r="C1727" s="74"/>
      <c r="D1727" s="74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</row>
    <row r="1728" spans="1:24" ht="13.2" x14ac:dyDescent="0.25">
      <c r="A1728" s="9"/>
      <c r="B1728" s="9"/>
      <c r="C1728" s="74"/>
      <c r="D1728" s="74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</row>
    <row r="1729" spans="1:24" ht="13.2" x14ac:dyDescent="0.25">
      <c r="A1729" s="9"/>
      <c r="B1729" s="9"/>
      <c r="C1729" s="74"/>
      <c r="D1729" s="74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</row>
    <row r="1730" spans="1:24" ht="13.2" x14ac:dyDescent="0.25">
      <c r="A1730" s="9"/>
      <c r="B1730" s="9"/>
      <c r="C1730" s="74"/>
      <c r="D1730" s="74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</row>
    <row r="1731" spans="1:24" ht="13.2" x14ac:dyDescent="0.25">
      <c r="A1731" s="9"/>
      <c r="B1731" s="9"/>
      <c r="C1731" s="74"/>
      <c r="D1731" s="74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</row>
    <row r="1732" spans="1:24" ht="13.2" x14ac:dyDescent="0.25">
      <c r="A1732" s="9"/>
      <c r="B1732" s="9"/>
      <c r="C1732" s="74"/>
      <c r="D1732" s="74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</row>
    <row r="1733" spans="1:24" ht="13.2" x14ac:dyDescent="0.25">
      <c r="A1733" s="9"/>
      <c r="B1733" s="9"/>
      <c r="C1733" s="74"/>
      <c r="D1733" s="74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</row>
    <row r="1734" spans="1:24" ht="13.2" x14ac:dyDescent="0.25">
      <c r="A1734" s="9"/>
      <c r="B1734" s="9"/>
      <c r="C1734" s="74"/>
      <c r="D1734" s="74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</row>
    <row r="1735" spans="1:24" ht="13.2" x14ac:dyDescent="0.25">
      <c r="A1735" s="9"/>
      <c r="B1735" s="9"/>
      <c r="C1735" s="74"/>
      <c r="D1735" s="74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</row>
    <row r="1736" spans="1:24" ht="13.2" x14ac:dyDescent="0.25">
      <c r="A1736" s="9"/>
      <c r="B1736" s="9"/>
      <c r="C1736" s="74"/>
      <c r="D1736" s="74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</row>
    <row r="1737" spans="1:24" ht="13.2" x14ac:dyDescent="0.25">
      <c r="A1737" s="9"/>
      <c r="B1737" s="9"/>
      <c r="C1737" s="74"/>
      <c r="D1737" s="74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</row>
    <row r="1738" spans="1:24" ht="13.2" x14ac:dyDescent="0.25">
      <c r="A1738" s="9"/>
      <c r="B1738" s="9"/>
      <c r="C1738" s="74"/>
      <c r="D1738" s="74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</row>
    <row r="1739" spans="1:24" ht="13.2" x14ac:dyDescent="0.25">
      <c r="A1739" s="9"/>
      <c r="B1739" s="9"/>
      <c r="C1739" s="74"/>
      <c r="D1739" s="74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</row>
    <row r="1740" spans="1:24" ht="13.2" x14ac:dyDescent="0.25">
      <c r="A1740" s="9"/>
      <c r="B1740" s="9"/>
      <c r="C1740" s="74"/>
      <c r="D1740" s="74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</row>
    <row r="1741" spans="1:24" ht="13.2" x14ac:dyDescent="0.25">
      <c r="A1741" s="9"/>
      <c r="B1741" s="9"/>
      <c r="C1741" s="74"/>
      <c r="D1741" s="74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</row>
    <row r="1742" spans="1:24" ht="13.2" x14ac:dyDescent="0.25">
      <c r="A1742" s="9"/>
      <c r="B1742" s="9"/>
      <c r="C1742" s="74"/>
      <c r="D1742" s="74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</row>
    <row r="1743" spans="1:24" ht="13.2" x14ac:dyDescent="0.25">
      <c r="A1743" s="9"/>
      <c r="B1743" s="9"/>
      <c r="C1743" s="74"/>
      <c r="D1743" s="74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</row>
    <row r="1744" spans="1:24" ht="13.2" x14ac:dyDescent="0.25">
      <c r="A1744" s="9"/>
      <c r="B1744" s="9"/>
      <c r="C1744" s="74"/>
      <c r="D1744" s="74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</row>
    <row r="1745" spans="1:24" ht="13.2" x14ac:dyDescent="0.25">
      <c r="A1745" s="9"/>
      <c r="B1745" s="9"/>
      <c r="C1745" s="74"/>
      <c r="D1745" s="74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</row>
    <row r="1746" spans="1:24" ht="13.2" x14ac:dyDescent="0.25">
      <c r="A1746" s="9"/>
      <c r="B1746" s="9"/>
      <c r="C1746" s="74"/>
      <c r="D1746" s="74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</row>
    <row r="1747" spans="1:24" ht="13.2" x14ac:dyDescent="0.25">
      <c r="A1747" s="9"/>
      <c r="B1747" s="9"/>
      <c r="C1747" s="74"/>
      <c r="D1747" s="74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</row>
    <row r="1748" spans="1:24" ht="13.2" x14ac:dyDescent="0.25">
      <c r="A1748" s="9"/>
      <c r="B1748" s="9"/>
      <c r="C1748" s="74"/>
      <c r="D1748" s="74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</row>
    <row r="1749" spans="1:24" ht="13.2" x14ac:dyDescent="0.25">
      <c r="A1749" s="9"/>
      <c r="B1749" s="9"/>
      <c r="C1749" s="74"/>
      <c r="D1749" s="74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</row>
    <row r="1750" spans="1:24" ht="13.2" x14ac:dyDescent="0.25">
      <c r="A1750" s="9"/>
      <c r="B1750" s="9"/>
      <c r="C1750" s="74"/>
      <c r="D1750" s="74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</row>
    <row r="1751" spans="1:24" ht="13.2" x14ac:dyDescent="0.25">
      <c r="A1751" s="9"/>
      <c r="B1751" s="9"/>
      <c r="C1751" s="74"/>
      <c r="D1751" s="74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</row>
    <row r="1752" spans="1:24" ht="13.2" x14ac:dyDescent="0.25">
      <c r="A1752" s="9"/>
      <c r="B1752" s="9"/>
      <c r="C1752" s="74"/>
      <c r="D1752" s="74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</row>
    <row r="1753" spans="1:24" ht="13.2" x14ac:dyDescent="0.25">
      <c r="A1753" s="9"/>
      <c r="B1753" s="9"/>
      <c r="C1753" s="74"/>
      <c r="D1753" s="74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</row>
    <row r="1754" spans="1:24" ht="13.2" x14ac:dyDescent="0.25">
      <c r="A1754" s="9"/>
      <c r="B1754" s="9"/>
      <c r="C1754" s="74"/>
      <c r="D1754" s="74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</row>
    <row r="1755" spans="1:24" ht="13.2" x14ac:dyDescent="0.25">
      <c r="A1755" s="9"/>
      <c r="B1755" s="9"/>
      <c r="C1755" s="74"/>
      <c r="D1755" s="74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</row>
    <row r="1756" spans="1:24" ht="13.2" x14ac:dyDescent="0.25">
      <c r="A1756" s="9"/>
      <c r="B1756" s="9"/>
      <c r="C1756" s="74"/>
      <c r="D1756" s="74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</row>
    <row r="1757" spans="1:24" ht="13.2" x14ac:dyDescent="0.25">
      <c r="A1757" s="9"/>
      <c r="B1757" s="9"/>
      <c r="C1757" s="74"/>
      <c r="D1757" s="74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</row>
    <row r="1758" spans="1:24" ht="13.2" x14ac:dyDescent="0.25">
      <c r="A1758" s="9"/>
      <c r="B1758" s="9"/>
      <c r="C1758" s="74"/>
      <c r="D1758" s="74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</row>
    <row r="1759" spans="1:24" ht="13.2" x14ac:dyDescent="0.25">
      <c r="A1759" s="9"/>
      <c r="B1759" s="9"/>
      <c r="C1759" s="74"/>
      <c r="D1759" s="74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</row>
    <row r="1760" spans="1:24" ht="13.2" x14ac:dyDescent="0.25">
      <c r="A1760" s="9"/>
      <c r="B1760" s="9"/>
      <c r="C1760" s="74"/>
      <c r="D1760" s="74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</row>
    <row r="1761" spans="1:24" ht="13.2" x14ac:dyDescent="0.25">
      <c r="A1761" s="9"/>
      <c r="B1761" s="9"/>
      <c r="C1761" s="74"/>
      <c r="D1761" s="74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</row>
    <row r="1762" spans="1:24" ht="13.2" x14ac:dyDescent="0.25">
      <c r="A1762" s="9"/>
      <c r="B1762" s="9"/>
      <c r="C1762" s="74"/>
      <c r="D1762" s="74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</row>
    <row r="1763" spans="1:24" ht="13.2" x14ac:dyDescent="0.25">
      <c r="A1763" s="9"/>
      <c r="B1763" s="9"/>
      <c r="C1763" s="74"/>
      <c r="D1763" s="74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</row>
    <row r="1764" spans="1:24" ht="13.2" x14ac:dyDescent="0.25">
      <c r="A1764" s="9"/>
      <c r="B1764" s="9"/>
      <c r="C1764" s="74"/>
      <c r="D1764" s="74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</row>
    <row r="1765" spans="1:24" ht="13.2" x14ac:dyDescent="0.25">
      <c r="A1765" s="9"/>
      <c r="B1765" s="9"/>
      <c r="C1765" s="74"/>
      <c r="D1765" s="74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</row>
    <row r="1766" spans="1:24" ht="13.2" x14ac:dyDescent="0.25">
      <c r="A1766" s="9"/>
      <c r="B1766" s="9"/>
      <c r="C1766" s="74"/>
      <c r="D1766" s="74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</row>
    <row r="1767" spans="1:24" ht="13.2" x14ac:dyDescent="0.25">
      <c r="A1767" s="9"/>
      <c r="B1767" s="9"/>
      <c r="C1767" s="74"/>
      <c r="D1767" s="74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</row>
    <row r="1768" spans="1:24" ht="13.2" x14ac:dyDescent="0.25">
      <c r="A1768" s="9"/>
      <c r="B1768" s="9"/>
      <c r="C1768" s="74"/>
      <c r="D1768" s="74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</row>
    <row r="1769" spans="1:24" ht="13.2" x14ac:dyDescent="0.25">
      <c r="A1769" s="9"/>
      <c r="B1769" s="9"/>
      <c r="C1769" s="74"/>
      <c r="D1769" s="74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</row>
    <row r="1770" spans="1:24" ht="13.2" x14ac:dyDescent="0.25">
      <c r="A1770" s="9"/>
      <c r="B1770" s="9"/>
      <c r="C1770" s="74"/>
      <c r="D1770" s="74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</row>
    <row r="1771" spans="1:24" ht="13.2" x14ac:dyDescent="0.25">
      <c r="A1771" s="9"/>
      <c r="B1771" s="9"/>
      <c r="C1771" s="74"/>
      <c r="D1771" s="74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</row>
    <row r="1772" spans="1:24" ht="13.2" x14ac:dyDescent="0.25">
      <c r="A1772" s="9"/>
      <c r="B1772" s="9"/>
      <c r="C1772" s="74"/>
      <c r="D1772" s="74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</row>
    <row r="1773" spans="1:24" ht="13.2" x14ac:dyDescent="0.25">
      <c r="A1773" s="9"/>
      <c r="B1773" s="9"/>
      <c r="C1773" s="74"/>
      <c r="D1773" s="74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</row>
    <row r="1774" spans="1:24" ht="13.2" x14ac:dyDescent="0.25">
      <c r="A1774" s="9"/>
      <c r="B1774" s="9"/>
      <c r="C1774" s="74"/>
      <c r="D1774" s="74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</row>
    <row r="1775" spans="1:24" ht="13.2" x14ac:dyDescent="0.25">
      <c r="A1775" s="9"/>
      <c r="B1775" s="9"/>
      <c r="C1775" s="74"/>
      <c r="D1775" s="74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</row>
    <row r="1776" spans="1:24" ht="13.2" x14ac:dyDescent="0.25">
      <c r="A1776" s="9"/>
      <c r="B1776" s="9"/>
      <c r="C1776" s="74"/>
      <c r="D1776" s="74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</row>
    <row r="1777" spans="1:24" ht="13.2" x14ac:dyDescent="0.25">
      <c r="A1777" s="9"/>
      <c r="B1777" s="9"/>
      <c r="C1777" s="74"/>
      <c r="D1777" s="74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</row>
    <row r="1778" spans="1:24" ht="13.2" x14ac:dyDescent="0.25">
      <c r="A1778" s="9"/>
      <c r="B1778" s="9"/>
      <c r="C1778" s="74"/>
      <c r="D1778" s="74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</row>
    <row r="1779" spans="1:24" ht="13.2" x14ac:dyDescent="0.25">
      <c r="A1779" s="9"/>
      <c r="B1779" s="9"/>
      <c r="C1779" s="74"/>
      <c r="D1779" s="74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</row>
    <row r="1780" spans="1:24" ht="13.2" x14ac:dyDescent="0.25">
      <c r="A1780" s="9"/>
      <c r="B1780" s="9"/>
      <c r="C1780" s="74"/>
      <c r="D1780" s="74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</row>
    <row r="1781" spans="1:24" ht="13.2" x14ac:dyDescent="0.25">
      <c r="A1781" s="9"/>
      <c r="B1781" s="9"/>
      <c r="C1781" s="74"/>
      <c r="D1781" s="74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</row>
    <row r="1782" spans="1:24" ht="13.2" x14ac:dyDescent="0.25">
      <c r="A1782" s="9"/>
      <c r="B1782" s="9"/>
      <c r="C1782" s="74"/>
      <c r="D1782" s="74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</row>
    <row r="1783" spans="1:24" ht="13.2" x14ac:dyDescent="0.25">
      <c r="A1783" s="9"/>
      <c r="B1783" s="9"/>
      <c r="C1783" s="74"/>
      <c r="D1783" s="74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</row>
    <row r="1784" spans="1:24" ht="13.2" x14ac:dyDescent="0.25">
      <c r="A1784" s="9"/>
      <c r="B1784" s="9"/>
      <c r="C1784" s="74"/>
      <c r="D1784" s="74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</row>
    <row r="1785" spans="1:24" ht="13.2" x14ac:dyDescent="0.25">
      <c r="A1785" s="9"/>
      <c r="B1785" s="9"/>
      <c r="C1785" s="74"/>
      <c r="D1785" s="74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</row>
    <row r="1786" spans="1:24" ht="13.2" x14ac:dyDescent="0.25">
      <c r="A1786" s="9"/>
      <c r="B1786" s="9"/>
      <c r="C1786" s="74"/>
      <c r="D1786" s="74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</row>
    <row r="1787" spans="1:24" ht="13.2" x14ac:dyDescent="0.25">
      <c r="A1787" s="9"/>
      <c r="B1787" s="9"/>
      <c r="C1787" s="74"/>
      <c r="D1787" s="74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</row>
    <row r="1788" spans="1:24" ht="13.2" x14ac:dyDescent="0.25">
      <c r="A1788" s="9"/>
      <c r="B1788" s="9"/>
      <c r="C1788" s="74"/>
      <c r="D1788" s="74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</row>
    <row r="1789" spans="1:24" ht="13.2" x14ac:dyDescent="0.25">
      <c r="A1789" s="9"/>
      <c r="B1789" s="9"/>
      <c r="C1789" s="74"/>
      <c r="D1789" s="74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</row>
    <row r="1790" spans="1:24" ht="13.2" x14ac:dyDescent="0.25">
      <c r="A1790" s="9"/>
      <c r="B1790" s="9"/>
      <c r="C1790" s="74"/>
      <c r="D1790" s="74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</row>
    <row r="1791" spans="1:24" ht="13.2" x14ac:dyDescent="0.25">
      <c r="A1791" s="9"/>
      <c r="B1791" s="9"/>
      <c r="C1791" s="74"/>
      <c r="D1791" s="74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</row>
    <row r="1792" spans="1:24" ht="13.2" x14ac:dyDescent="0.25">
      <c r="A1792" s="9"/>
      <c r="B1792" s="9"/>
      <c r="C1792" s="74"/>
      <c r="D1792" s="74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</row>
    <row r="1793" spans="1:24" ht="13.2" x14ac:dyDescent="0.25">
      <c r="A1793" s="9"/>
      <c r="B1793" s="9"/>
      <c r="C1793" s="74"/>
      <c r="D1793" s="74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</row>
    <row r="1794" spans="1:24" ht="13.2" x14ac:dyDescent="0.25">
      <c r="A1794" s="9"/>
      <c r="B1794" s="9"/>
      <c r="C1794" s="74"/>
      <c r="D1794" s="74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</row>
    <row r="1795" spans="1:24" ht="13.2" x14ac:dyDescent="0.25">
      <c r="A1795" s="9"/>
      <c r="B1795" s="9"/>
      <c r="C1795" s="74"/>
      <c r="D1795" s="74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</row>
    <row r="1796" spans="1:24" ht="13.2" x14ac:dyDescent="0.25">
      <c r="A1796" s="9"/>
      <c r="B1796" s="9"/>
      <c r="C1796" s="74"/>
      <c r="D1796" s="74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</row>
    <row r="1797" spans="1:24" ht="13.2" x14ac:dyDescent="0.25">
      <c r="A1797" s="9"/>
      <c r="B1797" s="9"/>
      <c r="C1797" s="74"/>
      <c r="D1797" s="74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</row>
    <row r="1798" spans="1:24" ht="13.2" x14ac:dyDescent="0.25">
      <c r="A1798" s="9"/>
      <c r="B1798" s="9"/>
      <c r="C1798" s="74"/>
      <c r="D1798" s="74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</row>
    <row r="1799" spans="1:24" ht="13.2" x14ac:dyDescent="0.25">
      <c r="A1799" s="9"/>
      <c r="B1799" s="9"/>
      <c r="C1799" s="74"/>
      <c r="D1799" s="74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Definitions</vt:lpstr>
      <vt:lpstr>Complete_Data_Quantitative</vt:lpstr>
      <vt:lpstr>Sheet1</vt:lpstr>
      <vt:lpstr>Derived_Data_Quantitative</vt:lpstr>
      <vt:lpstr>Copy of Derived_Data_Quantitati</vt:lpstr>
      <vt:lpstr>Raw_Data_Quantitative</vt:lpstr>
      <vt:lpstr>Qualitative</vt:lpstr>
      <vt:lpstr>Qual_Ref</vt:lpstr>
      <vt:lpstr>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Didier Kouakou  Kouame</cp:lastModifiedBy>
  <dcterms:created xsi:type="dcterms:W3CDTF">2026-03-01T03:05:07Z</dcterms:created>
  <dcterms:modified xsi:type="dcterms:W3CDTF">2026-03-08T23:39:23Z</dcterms:modified>
</cp:coreProperties>
</file>